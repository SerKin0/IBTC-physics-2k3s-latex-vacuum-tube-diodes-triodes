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Kin0\Documents\LaTeX\Лабораторная работа 6-Исследование электронных ламп диода и триода\IBTC-physics-2k3s-latex-vacuum-tube-diodes-triodes\graph\"/>
    </mc:Choice>
  </mc:AlternateContent>
  <xr:revisionPtr revIDLastSave="0" documentId="8_{9128C0B2-7BAB-48AF-8972-84DB93C07E85}" xr6:coauthVersionLast="47" xr6:coauthVersionMax="47" xr10:uidLastSave="{00000000-0000-0000-0000-000000000000}"/>
  <bookViews>
    <workbookView xWindow="14295" yWindow="0" windowWidth="14610" windowHeight="15585" tabRatio="704" activeTab="2" xr2:uid="{E9884957-8132-4B22-A6C3-69341D62379A}"/>
  </bookViews>
  <sheets>
    <sheet name="Анодная характеристика триода" sheetId="1" r:id="rId1"/>
    <sheet name="Лист2" sheetId="7" r:id="rId2"/>
    <sheet name="Лист3" sheetId="8" r:id="rId3"/>
    <sheet name="Лист1" sheetId="5" r:id="rId4"/>
    <sheet name="ВАХ диода" sheetId="2" r:id="rId5"/>
    <sheet name="Максимально допустимый ток" sheetId="3" r:id="rId6"/>
    <sheet name="Сеточная характеристика" sheetId="4" r:id="rId7"/>
    <sheet name="Зависимость K от 50кОм" sheetId="6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4" i="8" l="1"/>
  <c r="Z4" i="8"/>
  <c r="AA4" i="8"/>
  <c r="Y5" i="8"/>
  <c r="Z5" i="8"/>
  <c r="AA5" i="8"/>
  <c r="Y6" i="8"/>
  <c r="Z6" i="8"/>
  <c r="AA6" i="8"/>
  <c r="Y7" i="8"/>
  <c r="Z7" i="8"/>
  <c r="AA7" i="8"/>
  <c r="Y8" i="8"/>
  <c r="Z8" i="8"/>
  <c r="AA8" i="8"/>
  <c r="Y9" i="8"/>
  <c r="Z9" i="8"/>
  <c r="AA9" i="8"/>
  <c r="Y10" i="8"/>
  <c r="Z10" i="8"/>
  <c r="AA10" i="8"/>
  <c r="Y11" i="8"/>
  <c r="Z11" i="8"/>
  <c r="AA11" i="8"/>
  <c r="Y12" i="8"/>
  <c r="Z12" i="8"/>
  <c r="AA12" i="8"/>
  <c r="Y13" i="8"/>
  <c r="Z13" i="8"/>
  <c r="AA13" i="8"/>
  <c r="Y14" i="8"/>
  <c r="Z14" i="8"/>
  <c r="AA14" i="8"/>
  <c r="Y15" i="8"/>
  <c r="Z15" i="8"/>
  <c r="AA15" i="8"/>
  <c r="Y16" i="8"/>
  <c r="Z16" i="8"/>
  <c r="AA16" i="8"/>
  <c r="Y17" i="8"/>
  <c r="Z17" i="8"/>
  <c r="AA17" i="8"/>
  <c r="Y18" i="8"/>
  <c r="Z18" i="8"/>
  <c r="AA18" i="8"/>
  <c r="Y19" i="8"/>
  <c r="Z19" i="8"/>
  <c r="AA19" i="8"/>
  <c r="Y20" i="8"/>
  <c r="Z20" i="8"/>
  <c r="AA20" i="8"/>
  <c r="Y21" i="8"/>
  <c r="Z21" i="8"/>
  <c r="AA21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4" i="8"/>
  <c r="S4" i="8"/>
  <c r="T4" i="8"/>
  <c r="U4" i="8"/>
  <c r="V4" i="8"/>
  <c r="S5" i="8"/>
  <c r="T5" i="8"/>
  <c r="U5" i="8"/>
  <c r="V5" i="8"/>
  <c r="S6" i="8"/>
  <c r="T6" i="8"/>
  <c r="U6" i="8"/>
  <c r="V6" i="8"/>
  <c r="S7" i="8"/>
  <c r="T7" i="8"/>
  <c r="U7" i="8"/>
  <c r="V7" i="8"/>
  <c r="S8" i="8"/>
  <c r="T8" i="8"/>
  <c r="U8" i="8"/>
  <c r="V8" i="8"/>
  <c r="S9" i="8"/>
  <c r="T9" i="8"/>
  <c r="U9" i="8"/>
  <c r="V9" i="8"/>
  <c r="S10" i="8"/>
  <c r="T10" i="8"/>
  <c r="U10" i="8"/>
  <c r="V10" i="8"/>
  <c r="S11" i="8"/>
  <c r="T11" i="8"/>
  <c r="U11" i="8"/>
  <c r="V11" i="8"/>
  <c r="S12" i="8"/>
  <c r="T12" i="8"/>
  <c r="U12" i="8"/>
  <c r="V12" i="8"/>
  <c r="S13" i="8"/>
  <c r="T13" i="8"/>
  <c r="U13" i="8"/>
  <c r="V13" i="8"/>
  <c r="S14" i="8"/>
  <c r="T14" i="8"/>
  <c r="U14" i="8"/>
  <c r="V14" i="8"/>
  <c r="S15" i="8"/>
  <c r="T15" i="8"/>
  <c r="U15" i="8"/>
  <c r="V15" i="8"/>
  <c r="S16" i="8"/>
  <c r="T16" i="8"/>
  <c r="U16" i="8"/>
  <c r="V16" i="8"/>
  <c r="S17" i="8"/>
  <c r="T17" i="8"/>
  <c r="U17" i="8"/>
  <c r="V17" i="8"/>
  <c r="S18" i="8"/>
  <c r="T18" i="8"/>
  <c r="U18" i="8"/>
  <c r="V18" i="8"/>
  <c r="S19" i="8"/>
  <c r="T19" i="8"/>
  <c r="U19" i="8"/>
  <c r="V19" i="8"/>
  <c r="S20" i="8"/>
  <c r="T20" i="8"/>
  <c r="U20" i="8"/>
  <c r="V20" i="8"/>
  <c r="T21" i="8"/>
  <c r="U21" i="8"/>
  <c r="V21" i="8"/>
  <c r="S21" i="8"/>
  <c r="O4" i="8"/>
  <c r="P4" i="8"/>
  <c r="Q4" i="8"/>
  <c r="O5" i="8"/>
  <c r="P5" i="8"/>
  <c r="Q5" i="8"/>
  <c r="O6" i="8"/>
  <c r="P6" i="8"/>
  <c r="Q6" i="8"/>
  <c r="O7" i="8"/>
  <c r="P7" i="8"/>
  <c r="Q7" i="8"/>
  <c r="O8" i="8"/>
  <c r="P8" i="8"/>
  <c r="Q8" i="8"/>
  <c r="O9" i="8"/>
  <c r="P9" i="8"/>
  <c r="Q9" i="8"/>
  <c r="O10" i="8"/>
  <c r="P10" i="8"/>
  <c r="Q10" i="8"/>
  <c r="O11" i="8"/>
  <c r="P11" i="8"/>
  <c r="Q11" i="8"/>
  <c r="O12" i="8"/>
  <c r="P12" i="8"/>
  <c r="Q12" i="8"/>
  <c r="O13" i="8"/>
  <c r="P13" i="8"/>
  <c r="Q13" i="8"/>
  <c r="O14" i="8"/>
  <c r="P14" i="8"/>
  <c r="Q14" i="8"/>
  <c r="O15" i="8"/>
  <c r="P15" i="8"/>
  <c r="Q15" i="8"/>
  <c r="O16" i="8"/>
  <c r="P16" i="8"/>
  <c r="Q16" i="8"/>
  <c r="O17" i="8"/>
  <c r="P17" i="8"/>
  <c r="Q17" i="8"/>
  <c r="O18" i="8"/>
  <c r="P18" i="8"/>
  <c r="Q18" i="8"/>
  <c r="O19" i="8"/>
  <c r="P19" i="8"/>
  <c r="Q19" i="8"/>
  <c r="O20" i="8"/>
  <c r="P20" i="8"/>
  <c r="Q20" i="8"/>
  <c r="O21" i="8"/>
  <c r="P21" i="8"/>
  <c r="Q21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4" i="8"/>
  <c r="I4" i="8"/>
  <c r="J4" i="8"/>
  <c r="K4" i="8"/>
  <c r="I5" i="8"/>
  <c r="J5" i="8"/>
  <c r="K5" i="8"/>
  <c r="I6" i="8"/>
  <c r="J6" i="8"/>
  <c r="K6" i="8"/>
  <c r="I7" i="8"/>
  <c r="J7" i="8"/>
  <c r="K7" i="8"/>
  <c r="I8" i="8"/>
  <c r="J8" i="8"/>
  <c r="K8" i="8"/>
  <c r="I9" i="8"/>
  <c r="J9" i="8"/>
  <c r="K9" i="8"/>
  <c r="I10" i="8"/>
  <c r="J10" i="8"/>
  <c r="K10" i="8"/>
  <c r="I11" i="8"/>
  <c r="J11" i="8"/>
  <c r="K11" i="8"/>
  <c r="I12" i="8"/>
  <c r="J12" i="8"/>
  <c r="K12" i="8"/>
  <c r="I13" i="8"/>
  <c r="J13" i="8"/>
  <c r="K13" i="8"/>
  <c r="I14" i="8"/>
  <c r="J14" i="8"/>
  <c r="K14" i="8"/>
  <c r="I15" i="8"/>
  <c r="J15" i="8"/>
  <c r="K15" i="8"/>
  <c r="I16" i="8"/>
  <c r="J16" i="8"/>
  <c r="K16" i="8"/>
  <c r="I17" i="8"/>
  <c r="J17" i="8"/>
  <c r="K17" i="8"/>
  <c r="I18" i="8"/>
  <c r="J18" i="8"/>
  <c r="K18" i="8"/>
  <c r="I19" i="8"/>
  <c r="J19" i="8"/>
  <c r="K19" i="8"/>
  <c r="I20" i="8"/>
  <c r="J20" i="8"/>
  <c r="K20" i="8"/>
  <c r="I21" i="8"/>
  <c r="J21" i="8"/>
  <c r="K21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4" i="8"/>
  <c r="U3" i="7"/>
  <c r="V3" i="7"/>
  <c r="W3" i="7"/>
  <c r="U4" i="7"/>
  <c r="V4" i="7"/>
  <c r="W4" i="7"/>
  <c r="U5" i="7"/>
  <c r="V5" i="7"/>
  <c r="W5" i="7"/>
  <c r="U6" i="7"/>
  <c r="V6" i="7"/>
  <c r="W6" i="7"/>
  <c r="U7" i="7"/>
  <c r="V7" i="7"/>
  <c r="W7" i="7"/>
  <c r="U8" i="7"/>
  <c r="V8" i="7"/>
  <c r="W8" i="7"/>
  <c r="U9" i="7"/>
  <c r="V9" i="7"/>
  <c r="W9" i="7"/>
  <c r="U10" i="7"/>
  <c r="V10" i="7"/>
  <c r="W10" i="7"/>
  <c r="U11" i="7"/>
  <c r="V11" i="7"/>
  <c r="W11" i="7"/>
  <c r="U12" i="7"/>
  <c r="V12" i="7"/>
  <c r="W12" i="7"/>
  <c r="U13" i="7"/>
  <c r="V13" i="7"/>
  <c r="W13" i="7"/>
  <c r="U14" i="7"/>
  <c r="V14" i="7"/>
  <c r="W14" i="7"/>
  <c r="U15" i="7"/>
  <c r="V15" i="7"/>
  <c r="W15" i="7"/>
  <c r="U16" i="7"/>
  <c r="V16" i="7"/>
  <c r="W16" i="7"/>
  <c r="U17" i="7"/>
  <c r="V17" i="7"/>
  <c r="W17" i="7"/>
  <c r="U18" i="7"/>
  <c r="V18" i="7"/>
  <c r="W18" i="7"/>
  <c r="U19" i="7"/>
  <c r="V19" i="7"/>
  <c r="W19" i="7"/>
  <c r="U20" i="7"/>
  <c r="V20" i="7"/>
  <c r="W20" i="7"/>
  <c r="U21" i="7"/>
  <c r="V21" i="7"/>
  <c r="W21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3" i="7"/>
  <c r="P3" i="7"/>
  <c r="Q3" i="7"/>
  <c r="R3" i="7"/>
  <c r="P4" i="7"/>
  <c r="Q4" i="7"/>
  <c r="R4" i="7"/>
  <c r="P5" i="7"/>
  <c r="Q5" i="7"/>
  <c r="R5" i="7"/>
  <c r="P6" i="7"/>
  <c r="Q6" i="7"/>
  <c r="R6" i="7"/>
  <c r="P7" i="7"/>
  <c r="Q7" i="7"/>
  <c r="R7" i="7"/>
  <c r="P8" i="7"/>
  <c r="Q8" i="7"/>
  <c r="R8" i="7"/>
  <c r="P9" i="7"/>
  <c r="Q9" i="7"/>
  <c r="R9" i="7"/>
  <c r="P10" i="7"/>
  <c r="Q10" i="7"/>
  <c r="R10" i="7"/>
  <c r="P11" i="7"/>
  <c r="Q11" i="7"/>
  <c r="R11" i="7"/>
  <c r="P12" i="7"/>
  <c r="Q12" i="7"/>
  <c r="R12" i="7"/>
  <c r="P13" i="7"/>
  <c r="Q13" i="7"/>
  <c r="R13" i="7"/>
  <c r="P14" i="7"/>
  <c r="Q14" i="7"/>
  <c r="R14" i="7"/>
  <c r="P15" i="7"/>
  <c r="Q15" i="7"/>
  <c r="R15" i="7"/>
  <c r="P16" i="7"/>
  <c r="Q16" i="7"/>
  <c r="R16" i="7"/>
  <c r="P17" i="7"/>
  <c r="Q17" i="7"/>
  <c r="R17" i="7"/>
  <c r="P18" i="7"/>
  <c r="Q18" i="7"/>
  <c r="R18" i="7"/>
  <c r="P19" i="7"/>
  <c r="Q19" i="7"/>
  <c r="R19" i="7"/>
  <c r="P20" i="7"/>
  <c r="Q20" i="7"/>
  <c r="R20" i="7"/>
  <c r="P21" i="7"/>
  <c r="Q21" i="7"/>
  <c r="R21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3" i="7"/>
  <c r="K3" i="7"/>
  <c r="L3" i="7"/>
  <c r="M3" i="7"/>
  <c r="K4" i="7"/>
  <c r="L4" i="7"/>
  <c r="M4" i="7"/>
  <c r="K5" i="7"/>
  <c r="L5" i="7"/>
  <c r="M5" i="7"/>
  <c r="K6" i="7"/>
  <c r="L6" i="7"/>
  <c r="M6" i="7"/>
  <c r="K7" i="7"/>
  <c r="L7" i="7"/>
  <c r="M7" i="7"/>
  <c r="K8" i="7"/>
  <c r="L8" i="7"/>
  <c r="M8" i="7"/>
  <c r="K9" i="7"/>
  <c r="L9" i="7"/>
  <c r="M9" i="7"/>
  <c r="K10" i="7"/>
  <c r="L10" i="7"/>
  <c r="M10" i="7"/>
  <c r="K11" i="7"/>
  <c r="L11" i="7"/>
  <c r="M11" i="7"/>
  <c r="K12" i="7"/>
  <c r="L12" i="7"/>
  <c r="M12" i="7"/>
  <c r="K13" i="7"/>
  <c r="L13" i="7"/>
  <c r="M13" i="7"/>
  <c r="K14" i="7"/>
  <c r="L14" i="7"/>
  <c r="M14" i="7"/>
  <c r="K15" i="7"/>
  <c r="L15" i="7"/>
  <c r="M15" i="7"/>
  <c r="K16" i="7"/>
  <c r="L16" i="7"/>
  <c r="M16" i="7"/>
  <c r="K17" i="7"/>
  <c r="L17" i="7"/>
  <c r="M17" i="7"/>
  <c r="K18" i="7"/>
  <c r="L18" i="7"/>
  <c r="M18" i="7"/>
  <c r="K19" i="7"/>
  <c r="L19" i="7"/>
  <c r="M19" i="7"/>
  <c r="K20" i="7"/>
  <c r="L20" i="7"/>
  <c r="M20" i="7"/>
  <c r="K21" i="7"/>
  <c r="L21" i="7"/>
  <c r="M21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3" i="7"/>
  <c r="U22" i="1"/>
  <c r="V5" i="1"/>
  <c r="W5" i="1"/>
  <c r="X5" i="1"/>
  <c r="V6" i="1"/>
  <c r="W6" i="1"/>
  <c r="X6" i="1"/>
  <c r="V7" i="1"/>
  <c r="W7" i="1"/>
  <c r="X7" i="1"/>
  <c r="V8" i="1"/>
  <c r="W8" i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5" i="1"/>
  <c r="J11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4" i="1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4" i="1"/>
  <c r="L16" i="1"/>
  <c r="L17" i="1"/>
  <c r="L5" i="1"/>
  <c r="M5" i="1"/>
  <c r="L6" i="1"/>
  <c r="M6" i="1"/>
  <c r="M15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L7" i="1"/>
  <c r="M7" i="1"/>
  <c r="K7" i="1"/>
  <c r="K8" i="1"/>
  <c r="K9" i="1"/>
  <c r="K10" i="1"/>
  <c r="K12" i="1"/>
  <c r="K13" i="1"/>
  <c r="K14" i="1"/>
  <c r="K15" i="1"/>
  <c r="K16" i="1"/>
  <c r="K17" i="1"/>
  <c r="K18" i="1"/>
  <c r="K11" i="1"/>
  <c r="J12" i="1"/>
  <c r="J13" i="1"/>
  <c r="J14" i="1"/>
  <c r="J15" i="1"/>
  <c r="J16" i="1"/>
  <c r="J17" i="1"/>
  <c r="J18" i="1"/>
  <c r="J19" i="1"/>
  <c r="J20" i="1"/>
  <c r="J21" i="1"/>
  <c r="J22" i="1"/>
  <c r="J5" i="1"/>
  <c r="J6" i="1"/>
  <c r="K5" i="1"/>
  <c r="K6" i="1"/>
  <c r="M17" i="1"/>
  <c r="M18" i="1"/>
  <c r="L19" i="1"/>
  <c r="M19" i="1"/>
  <c r="K20" i="1"/>
  <c r="L20" i="1"/>
  <c r="M20" i="1"/>
  <c r="K21" i="1"/>
  <c r="L21" i="1"/>
  <c r="M21" i="1"/>
  <c r="K22" i="1"/>
  <c r="L22" i="1"/>
  <c r="M22" i="1"/>
  <c r="J7" i="1"/>
  <c r="J8" i="1"/>
  <c r="J9" i="1"/>
  <c r="M2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2" i="6"/>
  <c r="D3" i="6"/>
  <c r="D4" i="6"/>
  <c r="D5" i="6"/>
  <c r="D6" i="6"/>
  <c r="D7" i="6"/>
  <c r="D8" i="6"/>
  <c r="D9" i="6"/>
  <c r="D10" i="6"/>
  <c r="D11" i="6"/>
  <c r="D12" i="6"/>
  <c r="D2" i="6"/>
  <c r="H4" i="5"/>
  <c r="F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A4" i="5"/>
  <c r="C4" i="5"/>
  <c r="D4" i="5"/>
  <c r="C10" i="5"/>
  <c r="D10" i="5" s="1"/>
  <c r="A10" i="5" s="1"/>
  <c r="C11" i="5"/>
  <c r="D11" i="5" s="1"/>
  <c r="A11" i="5" s="1"/>
  <c r="C12" i="5"/>
  <c r="D12" i="5" s="1"/>
  <c r="A12" i="5" s="1"/>
  <c r="C13" i="5"/>
  <c r="D13" i="5" s="1"/>
  <c r="A13" i="5" s="1"/>
  <c r="C14" i="5"/>
  <c r="D14" i="5" s="1"/>
  <c r="A14" i="5" s="1"/>
  <c r="C15" i="5"/>
  <c r="D15" i="5" s="1"/>
  <c r="A15" i="5" s="1"/>
  <c r="C16" i="5"/>
  <c r="D16" i="5" s="1"/>
  <c r="A16" i="5" s="1"/>
  <c r="C17" i="5"/>
  <c r="D17" i="5" s="1"/>
  <c r="A17" i="5" s="1"/>
  <c r="C18" i="5"/>
  <c r="D18" i="5" s="1"/>
  <c r="A18" i="5" s="1"/>
  <c r="C5" i="5"/>
  <c r="D5" i="5" s="1"/>
  <c r="A5" i="5" s="1"/>
  <c r="C6" i="5"/>
  <c r="D6" i="5" s="1"/>
  <c r="A6" i="5" s="1"/>
  <c r="C7" i="5"/>
  <c r="D7" i="5" s="1"/>
  <c r="A7" i="5" s="1"/>
  <c r="C8" i="5"/>
  <c r="D8" i="5" s="1"/>
  <c r="A8" i="5" s="1"/>
  <c r="C9" i="5"/>
  <c r="D9" i="5" s="1"/>
  <c r="A9" i="5" s="1"/>
  <c r="C19" i="5"/>
  <c r="D19" i="5" s="1"/>
  <c r="A19" i="5" s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5" i="3"/>
</calcChain>
</file>

<file path=xl/sharedStrings.xml><?xml version="1.0" encoding="utf-8"?>
<sst xmlns="http://schemas.openxmlformats.org/spreadsheetml/2006/main" count="63" uniqueCount="28">
  <si>
    <t>U, В</t>
  </si>
  <si>
    <t>U_c = 0 В</t>
  </si>
  <si>
    <t>I_a, мА</t>
  </si>
  <si>
    <t>U_c = 2 В</t>
  </si>
  <si>
    <t>U_c = -4 В</t>
  </si>
  <si>
    <t>U_c = -2 В</t>
  </si>
  <si>
    <t>U_c = 4 В</t>
  </si>
  <si>
    <t>U_a, В</t>
  </si>
  <si>
    <t xml:space="preserve">P = </t>
  </si>
  <si>
    <t>U_a = 60 В</t>
  </si>
  <si>
    <t>U_a = 80 В</t>
  </si>
  <si>
    <t>U_a = 100 В</t>
  </si>
  <si>
    <t>U_c, В</t>
  </si>
  <si>
    <t>\infty</t>
  </si>
  <si>
    <t>K</t>
  </si>
  <si>
    <t>2U_вых</t>
  </si>
  <si>
    <t>nu</t>
  </si>
  <si>
    <t>Множитель</t>
  </si>
  <si>
    <t>--</t>
  </si>
  <si>
    <t>$\nu,~\text{кГц}$</t>
  </si>
  <si>
    <t>$2U_\text{вых},~\text{В}$</t>
  </si>
  <si>
    <t>$R,~\text{кОм}$</t>
  </si>
  <si>
    <t>$K$</t>
  </si>
  <si>
    <t>S</t>
  </si>
  <si>
    <t>R_i</t>
  </si>
  <si>
    <t>mu</t>
  </si>
  <si>
    <t>S_i, мА/В</t>
  </si>
  <si>
    <t>R_i, мОм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</si>
</sst>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MU Typewriter Text"/>
      <family val="3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/>
    <xf numFmtId="2" fontId="1" fillId="0" borderId="0" xfId="0" applyNumberFormat="1" applyFont="1"/>
    <xf numFmtId="11" fontId="1" fillId="0" borderId="0" xfId="0" applyNumberFormat="1" applyFont="1"/>
    <xf numFmtId="0" fontId="1" fillId="0" borderId="0" xfId="0" applyNumberFormat="1" applyFont="1"/>
    <xf numFmtId="1" fontId="1" fillId="0" borderId="0" xfId="0" applyNumberFormat="1" applyFont="1"/>
    <xf numFmtId="2" fontId="1" fillId="0" borderId="6" xfId="0" quotePrefix="1" applyNumberFormat="1" applyFont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latin typeface="CMU Typewriter Text" panose="02000609000000000000" pitchFamily="49" charset="0"/>
                <a:ea typeface="CMU Typewriter Text" panose="02000609000000000000" pitchFamily="49" charset="0"/>
                <a:cs typeface="CMU Typewriter Text" panose="02000609000000000000" pitchFamily="49" charset="0"/>
              </a:rPr>
              <a:t>Анодная характеристика триода</a:t>
            </a:r>
            <a:endParaRPr lang="ru-RU">
              <a:latin typeface="CMU Typewriter Text" panose="02000609000000000000" pitchFamily="49" charset="0"/>
              <a:ea typeface="CMU Typewriter Text" panose="02000609000000000000" pitchFamily="49" charset="0"/>
              <a:cs typeface="CMU Typewriter Text" panose="02000609000000000000" pitchFamily="49" charset="0"/>
            </a:endParaRPr>
          </a:p>
        </c:rich>
      </c:tx>
      <c:layout>
        <c:manualLayout>
          <c:xMode val="edge"/>
          <c:yMode val="edge"/>
          <c:x val="0.31702077865266837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'Анодная характеристика триода'!$C$2</c:f>
              <c:strCache>
                <c:ptCount val="1"/>
                <c:pt idx="0">
                  <c:v>U_c = -4 В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'Анодная характеристика триода'!$B$4:$B$22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</c:numCache>
            </c:numRef>
          </c:xVal>
          <c:yVal>
            <c:numRef>
              <c:f>'Анодная характеристика триода'!$C$4:$C$22</c:f>
              <c:numCache>
                <c:formatCode>General</c:formatCode>
                <c:ptCount val="19"/>
                <c:pt idx="6">
                  <c:v>0.12</c:v>
                </c:pt>
                <c:pt idx="7">
                  <c:v>0.34</c:v>
                </c:pt>
                <c:pt idx="8">
                  <c:v>0.72</c:v>
                </c:pt>
                <c:pt idx="9">
                  <c:v>1.26</c:v>
                </c:pt>
                <c:pt idx="10">
                  <c:v>1.95</c:v>
                </c:pt>
                <c:pt idx="11">
                  <c:v>2.77</c:v>
                </c:pt>
                <c:pt idx="12">
                  <c:v>3.72</c:v>
                </c:pt>
                <c:pt idx="13">
                  <c:v>4.75</c:v>
                </c:pt>
                <c:pt idx="14">
                  <c:v>5.93</c:v>
                </c:pt>
                <c:pt idx="15">
                  <c:v>7.15</c:v>
                </c:pt>
                <c:pt idx="16">
                  <c:v>8.44</c:v>
                </c:pt>
                <c:pt idx="17">
                  <c:v>9.84</c:v>
                </c:pt>
                <c:pt idx="18">
                  <c:v>11.27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3E-4D9B-A948-C2E81101BCE3}"/>
            </c:ext>
          </c:extLst>
        </c:ser>
        <c:ser>
          <c:idx val="1"/>
          <c:order val="1"/>
          <c:tx>
            <c:strRef>
              <c:f>'Анодная характеристика триода'!$D$2</c:f>
              <c:strCache>
                <c:ptCount val="1"/>
                <c:pt idx="0">
                  <c:v>U_c = -2 В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'Анодная характеристика триода'!$B$4:$B$22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</c:numCache>
            </c:numRef>
          </c:xVal>
          <c:yVal>
            <c:numRef>
              <c:f>'Анодная характеристика триода'!$D$4:$D$22</c:f>
              <c:numCache>
                <c:formatCode>General</c:formatCode>
                <c:ptCount val="19"/>
                <c:pt idx="3">
                  <c:v>0.16</c:v>
                </c:pt>
                <c:pt idx="4">
                  <c:v>0.54</c:v>
                </c:pt>
                <c:pt idx="5">
                  <c:v>1.1299999999999999</c:v>
                </c:pt>
                <c:pt idx="6">
                  <c:v>1.9</c:v>
                </c:pt>
                <c:pt idx="7">
                  <c:v>2.81</c:v>
                </c:pt>
                <c:pt idx="8">
                  <c:v>3.82</c:v>
                </c:pt>
                <c:pt idx="9">
                  <c:v>4.92</c:v>
                </c:pt>
                <c:pt idx="10">
                  <c:v>6.18</c:v>
                </c:pt>
                <c:pt idx="11">
                  <c:v>7.46</c:v>
                </c:pt>
                <c:pt idx="12">
                  <c:v>8.77</c:v>
                </c:pt>
                <c:pt idx="13">
                  <c:v>10.16</c:v>
                </c:pt>
                <c:pt idx="14">
                  <c:v>11.65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3E-4D9B-A948-C2E81101BCE3}"/>
            </c:ext>
          </c:extLst>
        </c:ser>
        <c:ser>
          <c:idx val="2"/>
          <c:order val="2"/>
          <c:tx>
            <c:strRef>
              <c:f>'Анодная характеристика триода'!$E$2</c:f>
              <c:strCache>
                <c:ptCount val="1"/>
                <c:pt idx="0">
                  <c:v>U_c = 0 В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'Анодная характеристика триода'!$B$4:$B$22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</c:numCache>
            </c:numRef>
          </c:xVal>
          <c:yVal>
            <c:numRef>
              <c:f>'Анодная характеристика триода'!$E$4:$E$22</c:f>
              <c:numCache>
                <c:formatCode>0.00</c:formatCode>
                <c:ptCount val="19"/>
                <c:pt idx="0">
                  <c:v>0.14000000000000001</c:v>
                </c:pt>
                <c:pt idx="1">
                  <c:v>1.39</c:v>
                </c:pt>
                <c:pt idx="2">
                  <c:v>2.35</c:v>
                </c:pt>
                <c:pt idx="3">
                  <c:v>3.39</c:v>
                </c:pt>
                <c:pt idx="4">
                  <c:v>4.5</c:v>
                </c:pt>
                <c:pt idx="5">
                  <c:v>5.77</c:v>
                </c:pt>
                <c:pt idx="6">
                  <c:v>6.97</c:v>
                </c:pt>
                <c:pt idx="7">
                  <c:v>8.33</c:v>
                </c:pt>
                <c:pt idx="8">
                  <c:v>9.7200000000000006</c:v>
                </c:pt>
                <c:pt idx="9">
                  <c:v>11.19</c:v>
                </c:pt>
                <c:pt idx="10">
                  <c:v>12.73</c:v>
                </c:pt>
                <c:pt idx="11">
                  <c:v>14.32</c:v>
                </c:pt>
                <c:pt idx="12">
                  <c:v>15.45</c:v>
                </c:pt>
                <c:pt idx="13">
                  <c:v>17.600000000000001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3E-4D9B-A948-C2E81101BCE3}"/>
            </c:ext>
          </c:extLst>
        </c:ser>
        <c:ser>
          <c:idx val="3"/>
          <c:order val="3"/>
          <c:tx>
            <c:strRef>
              <c:f>'Анодная характеристика триода'!$F$2</c:f>
              <c:strCache>
                <c:ptCount val="1"/>
                <c:pt idx="0">
                  <c:v>U_c = 2 В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'Анодная характеристика триода'!$B$4:$B$22</c:f>
              <c:numCache>
                <c:formatCode>General</c:formatCode>
                <c:ptCount val="1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</c:numCache>
            </c:numRef>
          </c:xVal>
          <c:yVal>
            <c:numRef>
              <c:f>'Анодная характеристика триода'!$F$4:$F$22</c:f>
              <c:numCache>
                <c:formatCode>0.00</c:formatCode>
                <c:ptCount val="19"/>
                <c:pt idx="0">
                  <c:v>0.13</c:v>
                </c:pt>
                <c:pt idx="1">
                  <c:v>4.67</c:v>
                </c:pt>
                <c:pt idx="2">
                  <c:v>6.01</c:v>
                </c:pt>
                <c:pt idx="3">
                  <c:v>7.5</c:v>
                </c:pt>
                <c:pt idx="4">
                  <c:v>8.9700000000000006</c:v>
                </c:pt>
                <c:pt idx="5">
                  <c:v>10.47</c:v>
                </c:pt>
                <c:pt idx="6">
                  <c:v>12</c:v>
                </c:pt>
                <c:pt idx="7">
                  <c:v>13.59</c:v>
                </c:pt>
                <c:pt idx="8">
                  <c:v>15.2</c:v>
                </c:pt>
                <c:pt idx="9">
                  <c:v>16.88</c:v>
                </c:pt>
                <c:pt idx="10">
                  <c:v>18.57</c:v>
                </c:pt>
                <c:pt idx="11">
                  <c:v>20.309999999999999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3E-4D9B-A948-C2E81101B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815999"/>
        <c:axId val="1999816959"/>
      </c:scatterChart>
      <c:valAx>
        <c:axId val="199981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U_c</a:t>
                </a:r>
                <a:r>
                  <a:rPr lang="en-US" baseline="0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, </a:t>
                </a:r>
                <a:r>
                  <a:rPr lang="ru-RU" baseline="0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В</a:t>
                </a:r>
                <a:endParaRPr lang="ru-RU">
                  <a:latin typeface="CMU Typewriter Text" panose="02000609000000000000" pitchFamily="49" charset="0"/>
                  <a:ea typeface="CMU Typewriter Text" panose="02000609000000000000" pitchFamily="49" charset="0"/>
                  <a:cs typeface="CMU Typewriter Text" panose="02000609000000000000" pitchFamily="49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816959"/>
        <c:crosses val="autoZero"/>
        <c:crossBetween val="midCat"/>
      </c:valAx>
      <c:valAx>
        <c:axId val="199981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I_a, </a:t>
                </a:r>
                <a:r>
                  <a:rPr lang="ru-RU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815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Лист1!$H$4:$H$19</c:f>
                <c:numCache>
                  <c:formatCode>General</c:formatCode>
                  <c:ptCount val="16"/>
                  <c:pt idx="0">
                    <c:v>50</c:v>
                  </c:pt>
                  <c:pt idx="1">
                    <c:v>700</c:v>
                  </c:pt>
                  <c:pt idx="2">
                    <c:v>1100</c:v>
                  </c:pt>
                  <c:pt idx="3">
                    <c:v>1300</c:v>
                  </c:pt>
                  <c:pt idx="4">
                    <c:v>1700</c:v>
                  </c:pt>
                  <c:pt idx="5">
                    <c:v>2100</c:v>
                  </c:pt>
                  <c:pt idx="6">
                    <c:v>5400</c:v>
                  </c:pt>
                  <c:pt idx="7">
                    <c:v>5800</c:v>
                  </c:pt>
                  <c:pt idx="8">
                    <c:v>6600</c:v>
                  </c:pt>
                  <c:pt idx="9">
                    <c:v>7600</c:v>
                  </c:pt>
                  <c:pt idx="10">
                    <c:v>8400</c:v>
                  </c:pt>
                  <c:pt idx="11">
                    <c:v>13000</c:v>
                  </c:pt>
                  <c:pt idx="12">
                    <c:v>15000</c:v>
                  </c:pt>
                  <c:pt idx="13">
                    <c:v>17000</c:v>
                  </c:pt>
                  <c:pt idx="14">
                    <c:v>19000</c:v>
                  </c:pt>
                  <c:pt idx="15">
                    <c:v>21000</c:v>
                  </c:pt>
                </c:numCache>
              </c:numRef>
            </c:plus>
            <c:minus>
              <c:numRef>
                <c:f>Лист1!$H$4:$H$19</c:f>
                <c:numCache>
                  <c:formatCode>General</c:formatCode>
                  <c:ptCount val="16"/>
                  <c:pt idx="0">
                    <c:v>50</c:v>
                  </c:pt>
                  <c:pt idx="1">
                    <c:v>700</c:v>
                  </c:pt>
                  <c:pt idx="2">
                    <c:v>1100</c:v>
                  </c:pt>
                  <c:pt idx="3">
                    <c:v>1300</c:v>
                  </c:pt>
                  <c:pt idx="4">
                    <c:v>1700</c:v>
                  </c:pt>
                  <c:pt idx="5">
                    <c:v>2100</c:v>
                  </c:pt>
                  <c:pt idx="6">
                    <c:v>5400</c:v>
                  </c:pt>
                  <c:pt idx="7">
                    <c:v>5800</c:v>
                  </c:pt>
                  <c:pt idx="8">
                    <c:v>6600</c:v>
                  </c:pt>
                  <c:pt idx="9">
                    <c:v>7600</c:v>
                  </c:pt>
                  <c:pt idx="10">
                    <c:v>8400</c:v>
                  </c:pt>
                  <c:pt idx="11">
                    <c:v>13000</c:v>
                  </c:pt>
                  <c:pt idx="12">
                    <c:v>15000</c:v>
                  </c:pt>
                  <c:pt idx="13">
                    <c:v>17000</c:v>
                  </c:pt>
                  <c:pt idx="14">
                    <c:v>19000</c:v>
                  </c:pt>
                  <c:pt idx="15">
                    <c:v>21000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Лист1!$D$4:$D$19</c:f>
              <c:numCache>
                <c:formatCode>0</c:formatCode>
                <c:ptCount val="16"/>
                <c:pt idx="0">
                  <c:v>1000</c:v>
                </c:pt>
                <c:pt idx="1">
                  <c:v>20000</c:v>
                </c:pt>
                <c:pt idx="2">
                  <c:v>40000</c:v>
                </c:pt>
                <c:pt idx="3">
                  <c:v>50000</c:v>
                </c:pt>
                <c:pt idx="4">
                  <c:v>70000</c:v>
                </c:pt>
                <c:pt idx="5">
                  <c:v>90000</c:v>
                </c:pt>
                <c:pt idx="6">
                  <c:v>120000</c:v>
                </c:pt>
                <c:pt idx="7">
                  <c:v>140000</c:v>
                </c:pt>
                <c:pt idx="8">
                  <c:v>180000</c:v>
                </c:pt>
                <c:pt idx="9">
                  <c:v>230000</c:v>
                </c:pt>
                <c:pt idx="10">
                  <c:v>270000</c:v>
                </c:pt>
                <c:pt idx="11">
                  <c:v>500000</c:v>
                </c:pt>
                <c:pt idx="12">
                  <c:v>600000</c:v>
                </c:pt>
                <c:pt idx="13">
                  <c:v>700000</c:v>
                </c:pt>
                <c:pt idx="14">
                  <c:v>800000</c:v>
                </c:pt>
                <c:pt idx="15">
                  <c:v>900000</c:v>
                </c:pt>
              </c:numCache>
            </c:numRef>
          </c:xVal>
          <c:yVal>
            <c:numRef>
              <c:f>Лист1!$F$4:$F$19</c:f>
              <c:numCache>
                <c:formatCode>0.00</c:formatCode>
                <c:ptCount val="16"/>
                <c:pt idx="0">
                  <c:v>1.7999999999999998</c:v>
                </c:pt>
                <c:pt idx="1">
                  <c:v>1.7599999999999998</c:v>
                </c:pt>
                <c:pt idx="2">
                  <c:v>1.7799999999999998</c:v>
                </c:pt>
                <c:pt idx="3">
                  <c:v>1.7399999999999998</c:v>
                </c:pt>
                <c:pt idx="4">
                  <c:v>1.7599999999999998</c:v>
                </c:pt>
                <c:pt idx="5">
                  <c:v>1.7599999999999998</c:v>
                </c:pt>
                <c:pt idx="6">
                  <c:v>1.7599999999999998</c:v>
                </c:pt>
                <c:pt idx="7">
                  <c:v>1.7599999999999998</c:v>
                </c:pt>
                <c:pt idx="8">
                  <c:v>1.7199999999999998</c:v>
                </c:pt>
                <c:pt idx="9">
                  <c:v>1.7199999999999998</c:v>
                </c:pt>
                <c:pt idx="10">
                  <c:v>1.68</c:v>
                </c:pt>
                <c:pt idx="11">
                  <c:v>1.5399999999999998</c:v>
                </c:pt>
                <c:pt idx="12">
                  <c:v>1.4399999999999997</c:v>
                </c:pt>
                <c:pt idx="13">
                  <c:v>1.36</c:v>
                </c:pt>
                <c:pt idx="14">
                  <c:v>1.27</c:v>
                </c:pt>
                <c:pt idx="15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1-4154-B762-E01A6796D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723600"/>
        <c:axId val="1098100832"/>
      </c:scatterChart>
      <c:valAx>
        <c:axId val="83572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100832"/>
        <c:crosses val="autoZero"/>
        <c:crossBetween val="midCat"/>
      </c:valAx>
      <c:valAx>
        <c:axId val="109810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72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CMU Typewriter Text" panose="02000609000000000000" pitchFamily="49" charset="0"/>
                <a:ea typeface="CMU Typewriter Text" panose="02000609000000000000" pitchFamily="49" charset="0"/>
                <a:cs typeface="CMU Typewriter Text" panose="02000609000000000000" pitchFamily="49" charset="0"/>
              </a:rPr>
              <a:t>Вольт</a:t>
            </a:r>
            <a:r>
              <a:rPr lang="ru-RU" baseline="0">
                <a:latin typeface="CMU Typewriter Text" panose="02000609000000000000" pitchFamily="49" charset="0"/>
                <a:ea typeface="CMU Typewriter Text" panose="02000609000000000000" pitchFamily="49" charset="0"/>
                <a:cs typeface="CMU Typewriter Text" panose="02000609000000000000" pitchFamily="49" charset="0"/>
              </a:rPr>
              <a:t>-амперная характеристика диода</a:t>
            </a:r>
            <a:endParaRPr lang="ru-RU">
              <a:latin typeface="CMU Typewriter Text" panose="02000609000000000000" pitchFamily="49" charset="0"/>
              <a:ea typeface="CMU Typewriter Text" panose="02000609000000000000" pitchFamily="49" charset="0"/>
              <a:cs typeface="CMU Typewriter Text" panose="02000609000000000000" pitchFamily="49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'ВАХ диода'!$C$2</c:f>
              <c:strCache>
                <c:ptCount val="1"/>
                <c:pt idx="0">
                  <c:v>I_a, мА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'ВАХ диода'!$B$3:$B$12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'ВАХ диода'!$C$3:$C$12</c:f>
              <c:numCache>
                <c:formatCode>0.00</c:formatCode>
                <c:ptCount val="10"/>
                <c:pt idx="0">
                  <c:v>3.78</c:v>
                </c:pt>
                <c:pt idx="1">
                  <c:v>10.16</c:v>
                </c:pt>
                <c:pt idx="2">
                  <c:v>16.88</c:v>
                </c:pt>
                <c:pt idx="3">
                  <c:v>24.84</c:v>
                </c:pt>
                <c:pt idx="4">
                  <c:v>32.4</c:v>
                </c:pt>
                <c:pt idx="5">
                  <c:v>40.9</c:v>
                </c:pt>
                <c:pt idx="6">
                  <c:v>49.94</c:v>
                </c:pt>
                <c:pt idx="7">
                  <c:v>62.4</c:v>
                </c:pt>
                <c:pt idx="8">
                  <c:v>73.52</c:v>
                </c:pt>
                <c:pt idx="9">
                  <c:v>86.31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59-4558-AE07-E94CA694E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526783"/>
        <c:axId val="2002529183"/>
      </c:scatterChart>
      <c:valAx>
        <c:axId val="200252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U_a,</a:t>
                </a:r>
                <a:r>
                  <a:rPr lang="en-US" baseline="0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 </a:t>
                </a:r>
                <a:r>
                  <a:rPr lang="ru-RU" baseline="0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В</a:t>
                </a:r>
                <a:endParaRPr lang="ru-RU">
                  <a:latin typeface="CMU Typewriter Text" panose="02000609000000000000" pitchFamily="49" charset="0"/>
                  <a:ea typeface="CMU Typewriter Text" panose="02000609000000000000" pitchFamily="49" charset="0"/>
                  <a:cs typeface="CMU Typewriter Text" panose="02000609000000000000" pitchFamily="49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29183"/>
        <c:crosses val="autoZero"/>
        <c:crossBetween val="midCat"/>
      </c:valAx>
      <c:valAx>
        <c:axId val="200252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I_a, </a:t>
                </a:r>
                <a:r>
                  <a:rPr lang="ru-RU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26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latin typeface="CMU Typewriter Text" panose="02000609000000000000" pitchFamily="49" charset="0"/>
                <a:ea typeface="CMU Typewriter Text" panose="02000609000000000000" pitchFamily="49" charset="0"/>
                <a:cs typeface="CMU Typewriter Text" panose="02000609000000000000" pitchFamily="49" charset="0"/>
              </a:rPr>
              <a:t>Кривая максимально допустимого тока</a:t>
            </a:r>
            <a:endParaRPr lang="ru-RU">
              <a:latin typeface="CMU Typewriter Text" panose="02000609000000000000" pitchFamily="49" charset="0"/>
              <a:ea typeface="CMU Typewriter Text" panose="02000609000000000000" pitchFamily="49" charset="0"/>
              <a:cs typeface="CMU Typewriter Text" panose="02000609000000000000" pitchFamily="49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'Максимально допустимый ток'!$C$4</c:f>
              <c:strCache>
                <c:ptCount val="1"/>
                <c:pt idx="0">
                  <c:v>I_a, мА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'Максимально допустимый ток'!$B$5:$B$28</c:f>
              <c:numCache>
                <c:formatCode>General</c:formatCode>
                <c:ptCount val="2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</c:numCache>
            </c:numRef>
          </c:xVal>
          <c:yVal>
            <c:numRef>
              <c:f>'Максимально допустимый ток'!$C$5:$C$28</c:f>
              <c:numCache>
                <c:formatCode>0.00</c:formatCode>
                <c:ptCount val="24"/>
                <c:pt idx="0">
                  <c:v>250</c:v>
                </c:pt>
                <c:pt idx="1">
                  <c:v>125</c:v>
                </c:pt>
                <c:pt idx="2">
                  <c:v>83.333333333333329</c:v>
                </c:pt>
                <c:pt idx="3">
                  <c:v>62.5</c:v>
                </c:pt>
                <c:pt idx="4">
                  <c:v>50</c:v>
                </c:pt>
                <c:pt idx="5">
                  <c:v>41.666666666666664</c:v>
                </c:pt>
                <c:pt idx="6">
                  <c:v>35.714285714285715</c:v>
                </c:pt>
                <c:pt idx="7">
                  <c:v>31.25</c:v>
                </c:pt>
                <c:pt idx="8">
                  <c:v>27.777777777777775</c:v>
                </c:pt>
                <c:pt idx="9">
                  <c:v>25</c:v>
                </c:pt>
                <c:pt idx="10">
                  <c:v>22.727272727272727</c:v>
                </c:pt>
                <c:pt idx="11">
                  <c:v>20.833333333333332</c:v>
                </c:pt>
                <c:pt idx="12">
                  <c:v>19.230769230769234</c:v>
                </c:pt>
                <c:pt idx="13">
                  <c:v>17.857142857142858</c:v>
                </c:pt>
                <c:pt idx="14">
                  <c:v>16.666666666666668</c:v>
                </c:pt>
                <c:pt idx="15">
                  <c:v>15.625</c:v>
                </c:pt>
                <c:pt idx="16">
                  <c:v>14.705882352941176</c:v>
                </c:pt>
                <c:pt idx="17">
                  <c:v>13.888888888888888</c:v>
                </c:pt>
                <c:pt idx="18">
                  <c:v>13.157894736842104</c:v>
                </c:pt>
                <c:pt idx="19">
                  <c:v>12.5</c:v>
                </c:pt>
                <c:pt idx="20">
                  <c:v>11.904761904761903</c:v>
                </c:pt>
                <c:pt idx="21">
                  <c:v>11.363636363636363</c:v>
                </c:pt>
                <c:pt idx="22">
                  <c:v>10.869565217391305</c:v>
                </c:pt>
                <c:pt idx="23">
                  <c:v>10.416666666666666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E4-43BF-948F-C4583215E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527743"/>
        <c:axId val="2002529663"/>
      </c:scatterChart>
      <c:valAx>
        <c:axId val="200252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U_a,</a:t>
                </a:r>
                <a:r>
                  <a:rPr lang="en-US" baseline="0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 </a:t>
                </a:r>
                <a:r>
                  <a:rPr lang="ru-RU" baseline="0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В</a:t>
                </a:r>
                <a:endParaRPr lang="ru-RU">
                  <a:latin typeface="CMU Typewriter Text" panose="02000609000000000000" pitchFamily="49" charset="0"/>
                  <a:ea typeface="CMU Typewriter Text" panose="02000609000000000000" pitchFamily="49" charset="0"/>
                  <a:cs typeface="CMU Typewriter Text" panose="02000609000000000000" pitchFamily="49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29663"/>
        <c:crosses val="autoZero"/>
        <c:crossBetween val="midCat"/>
      </c:valAx>
      <c:valAx>
        <c:axId val="200252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I_a,</a:t>
                </a:r>
                <a:r>
                  <a:rPr lang="en-US" baseline="0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 </a:t>
                </a:r>
                <a:r>
                  <a:rPr lang="ru-RU" baseline="0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мА</a:t>
                </a:r>
                <a:endParaRPr lang="ru-RU">
                  <a:latin typeface="CMU Typewriter Text" panose="02000609000000000000" pitchFamily="49" charset="0"/>
                  <a:ea typeface="CMU Typewriter Text" panose="02000609000000000000" pitchFamily="49" charset="0"/>
                  <a:cs typeface="CMU Typewriter Text" panose="02000609000000000000" pitchFamily="49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2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latin typeface="CMU Typewriter Text" panose="02000609000000000000" pitchFamily="49" charset="0"/>
                <a:ea typeface="CMU Typewriter Text" panose="02000609000000000000" pitchFamily="49" charset="0"/>
                <a:cs typeface="CMU Typewriter Text" panose="02000609000000000000" pitchFamily="49" charset="0"/>
              </a:rPr>
              <a:t>Анодно-сеточная характеристика триода</a:t>
            </a:r>
            <a:endParaRPr lang="ru-RU">
              <a:latin typeface="CMU Typewriter Text" panose="02000609000000000000" pitchFamily="49" charset="0"/>
              <a:ea typeface="CMU Typewriter Text" panose="02000609000000000000" pitchFamily="49" charset="0"/>
              <a:cs typeface="CMU Typewriter Text" panose="02000609000000000000" pitchFamily="49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'Сеточная характеристика'!$D$2:$E$2</c:f>
              <c:strCache>
                <c:ptCount val="1"/>
                <c:pt idx="0">
                  <c:v>U_a = 60 В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'Сеточная характеристика'!$D$4:$D$24</c:f>
              <c:strCache>
                <c:ptCount val="21"/>
                <c:pt idx="0">
                  <c:v>--</c:v>
                </c:pt>
                <c:pt idx="1">
                  <c:v>--</c:v>
                </c:pt>
                <c:pt idx="2">
                  <c:v>--</c:v>
                </c:pt>
                <c:pt idx="3">
                  <c:v>--</c:v>
                </c:pt>
                <c:pt idx="4">
                  <c:v>--</c:v>
                </c:pt>
                <c:pt idx="5">
                  <c:v>-3.16</c:v>
                </c:pt>
                <c:pt idx="6">
                  <c:v>-2.38</c:v>
                </c:pt>
                <c:pt idx="7">
                  <c:v>-2.04</c:v>
                </c:pt>
                <c:pt idx="8">
                  <c:v>-1.54</c:v>
                </c:pt>
                <c:pt idx="9">
                  <c:v>-1.09</c:v>
                </c:pt>
                <c:pt idx="10">
                  <c:v>-0.55</c:v>
                </c:pt>
                <c:pt idx="11">
                  <c:v>0.08</c:v>
                </c:pt>
                <c:pt idx="12">
                  <c:v>0.52</c:v>
                </c:pt>
                <c:pt idx="13">
                  <c:v>1.02</c:v>
                </c:pt>
                <c:pt idx="14">
                  <c:v>1.57</c:v>
                </c:pt>
                <c:pt idx="15">
                  <c:v>2.04</c:v>
                </c:pt>
                <c:pt idx="16">
                  <c:v>2.54</c:v>
                </c:pt>
                <c:pt idx="17">
                  <c:v>3.04</c:v>
                </c:pt>
                <c:pt idx="18">
                  <c:v>3.57</c:v>
                </c:pt>
                <c:pt idx="19">
                  <c:v>4.08</c:v>
                </c:pt>
                <c:pt idx="20">
                  <c:v>4.47</c:v>
                </c:pt>
              </c:strCache>
            </c:strRef>
          </c:xVal>
          <c:yVal>
            <c:numRef>
              <c:f>'Сеточная характеристика'!$E$4:$E$24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1.31</c:v>
                </c:pt>
                <c:pt idx="7">
                  <c:v>1.85</c:v>
                </c:pt>
                <c:pt idx="8">
                  <c:v>2.78</c:v>
                </c:pt>
                <c:pt idx="9">
                  <c:v>3.76</c:v>
                </c:pt>
                <c:pt idx="10">
                  <c:v>5.16</c:v>
                </c:pt>
                <c:pt idx="11">
                  <c:v>6.8</c:v>
                </c:pt>
                <c:pt idx="12">
                  <c:v>7.9</c:v>
                </c:pt>
                <c:pt idx="13">
                  <c:v>9.16</c:v>
                </c:pt>
                <c:pt idx="14">
                  <c:v>10.6</c:v>
                </c:pt>
                <c:pt idx="15">
                  <c:v>11.85</c:v>
                </c:pt>
                <c:pt idx="16">
                  <c:v>13.21</c:v>
                </c:pt>
                <c:pt idx="17">
                  <c:v>14.62</c:v>
                </c:pt>
                <c:pt idx="18">
                  <c:v>16.149999999999999</c:v>
                </c:pt>
                <c:pt idx="19">
                  <c:v>17.7</c:v>
                </c:pt>
                <c:pt idx="20">
                  <c:v>18.899999999999999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9B-4D7F-9A55-F79AE2535EB6}"/>
            </c:ext>
          </c:extLst>
        </c:ser>
        <c:ser>
          <c:idx val="1"/>
          <c:order val="1"/>
          <c:tx>
            <c:strRef>
              <c:f>'Сеточная характеристика'!$F$2:$G$2</c:f>
              <c:strCache>
                <c:ptCount val="1"/>
                <c:pt idx="0">
                  <c:v>U_a = 80 В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'Сеточная характеристика'!$F$4:$F$24</c:f>
              <c:strCache>
                <c:ptCount val="21"/>
                <c:pt idx="0">
                  <c:v>--</c:v>
                </c:pt>
                <c:pt idx="1">
                  <c:v>--</c:v>
                </c:pt>
                <c:pt idx="2">
                  <c:v>-4.53</c:v>
                </c:pt>
                <c:pt idx="3">
                  <c:v>-4.00</c:v>
                </c:pt>
                <c:pt idx="4">
                  <c:v>-3.52</c:v>
                </c:pt>
                <c:pt idx="5">
                  <c:v>-3.08</c:v>
                </c:pt>
                <c:pt idx="6">
                  <c:v>-2.50</c:v>
                </c:pt>
                <c:pt idx="7">
                  <c:v>-2.00</c:v>
                </c:pt>
                <c:pt idx="8">
                  <c:v>-1.54</c:v>
                </c:pt>
                <c:pt idx="9">
                  <c:v>-0.95</c:v>
                </c:pt>
                <c:pt idx="10">
                  <c:v>-0.57</c:v>
                </c:pt>
                <c:pt idx="11">
                  <c:v>0.06</c:v>
                </c:pt>
                <c:pt idx="12">
                  <c:v>0.52</c:v>
                </c:pt>
                <c:pt idx="13">
                  <c:v>0.98</c:v>
                </c:pt>
                <c:pt idx="14">
                  <c:v>1.50</c:v>
                </c:pt>
                <c:pt idx="15">
                  <c:v>2.13</c:v>
                </c:pt>
                <c:pt idx="16">
                  <c:v>2.53</c:v>
                </c:pt>
                <c:pt idx="17">
                  <c:v>2.99</c:v>
                </c:pt>
                <c:pt idx="18">
                  <c:v>3.50</c:v>
                </c:pt>
                <c:pt idx="19">
                  <c:v>4.02</c:v>
                </c:pt>
                <c:pt idx="20">
                  <c:v>4.51</c:v>
                </c:pt>
              </c:strCache>
            </c:strRef>
          </c:xVal>
          <c:yVal>
            <c:numRef>
              <c:f>'Сеточная характеристика'!$G$4:$G$24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0.37</c:v>
                </c:pt>
                <c:pt idx="3">
                  <c:v>0.73</c:v>
                </c:pt>
                <c:pt idx="4">
                  <c:v>1.2</c:v>
                </c:pt>
                <c:pt idx="5">
                  <c:v>1.78</c:v>
                </c:pt>
                <c:pt idx="6">
                  <c:v>2.78</c:v>
                </c:pt>
                <c:pt idx="7">
                  <c:v>3.8</c:v>
                </c:pt>
                <c:pt idx="8">
                  <c:v>4.96</c:v>
                </c:pt>
                <c:pt idx="9">
                  <c:v>6.4</c:v>
                </c:pt>
                <c:pt idx="10">
                  <c:v>7.6</c:v>
                </c:pt>
                <c:pt idx="11">
                  <c:v>9.5</c:v>
                </c:pt>
                <c:pt idx="12">
                  <c:v>10.78</c:v>
                </c:pt>
                <c:pt idx="13">
                  <c:v>12.12</c:v>
                </c:pt>
                <c:pt idx="14">
                  <c:v>13.49</c:v>
                </c:pt>
                <c:pt idx="15">
                  <c:v>15.34</c:v>
                </c:pt>
                <c:pt idx="16">
                  <c:v>16.52</c:v>
                </c:pt>
                <c:pt idx="17">
                  <c:v>17.920000000000002</c:v>
                </c:pt>
                <c:pt idx="18">
                  <c:v>19.510000000000002</c:v>
                </c:pt>
                <c:pt idx="19">
                  <c:v>21.17</c:v>
                </c:pt>
                <c:pt idx="20">
                  <c:v>22.75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9B-4D7F-9A55-F79AE2535EB6}"/>
            </c:ext>
          </c:extLst>
        </c:ser>
        <c:ser>
          <c:idx val="2"/>
          <c:order val="2"/>
          <c:tx>
            <c:strRef>
              <c:f>'Сеточная характеристика'!$H$2:$I$2</c:f>
              <c:strCache>
                <c:ptCount val="1"/>
                <c:pt idx="0">
                  <c:v>U_a = 100 В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'Сеточная характеристика'!$H$4:$H$24</c:f>
              <c:strCache>
                <c:ptCount val="21"/>
                <c:pt idx="0">
                  <c:v>-5.55</c:v>
                </c:pt>
                <c:pt idx="1">
                  <c:v>-4.97</c:v>
                </c:pt>
                <c:pt idx="2">
                  <c:v>-4.54</c:v>
                </c:pt>
                <c:pt idx="3">
                  <c:v>-4.03</c:v>
                </c:pt>
                <c:pt idx="4">
                  <c:v>-3.50</c:v>
                </c:pt>
                <c:pt idx="5">
                  <c:v>-3.10</c:v>
                </c:pt>
                <c:pt idx="6">
                  <c:v>-2.53</c:v>
                </c:pt>
                <c:pt idx="7">
                  <c:v>-2.04</c:v>
                </c:pt>
                <c:pt idx="8">
                  <c:v>-1.50</c:v>
                </c:pt>
                <c:pt idx="9">
                  <c:v>-1.05</c:v>
                </c:pt>
                <c:pt idx="10">
                  <c:v>-0.55</c:v>
                </c:pt>
                <c:pt idx="11">
                  <c:v>0.11</c:v>
                </c:pt>
                <c:pt idx="12">
                  <c:v>0.51</c:v>
                </c:pt>
                <c:pt idx="13">
                  <c:v>1.07</c:v>
                </c:pt>
                <c:pt idx="14">
                  <c:v>1.48</c:v>
                </c:pt>
                <c:pt idx="15">
                  <c:v>2.09</c:v>
                </c:pt>
                <c:pt idx="16">
                  <c:v>2.55</c:v>
                </c:pt>
                <c:pt idx="17">
                  <c:v>3.07</c:v>
                </c:pt>
                <c:pt idx="18">
                  <c:v>3.52</c:v>
                </c:pt>
                <c:pt idx="19">
                  <c:v>--</c:v>
                </c:pt>
                <c:pt idx="20">
                  <c:v>--</c:v>
                </c:pt>
              </c:strCache>
            </c:strRef>
          </c:xVal>
          <c:yVal>
            <c:numRef>
              <c:f>'Сеточная характеристика'!$I$4:$I$24</c:f>
              <c:numCache>
                <c:formatCode>0.00</c:formatCode>
                <c:ptCount val="21"/>
                <c:pt idx="0">
                  <c:v>0.53</c:v>
                </c:pt>
                <c:pt idx="1">
                  <c:v>0.87</c:v>
                </c:pt>
                <c:pt idx="2">
                  <c:v>1.28</c:v>
                </c:pt>
                <c:pt idx="3">
                  <c:v>1.92</c:v>
                </c:pt>
                <c:pt idx="4">
                  <c:v>2.78</c:v>
                </c:pt>
                <c:pt idx="5">
                  <c:v>3.55</c:v>
                </c:pt>
                <c:pt idx="6">
                  <c:v>4.78</c:v>
                </c:pt>
                <c:pt idx="7">
                  <c:v>6.09</c:v>
                </c:pt>
                <c:pt idx="8">
                  <c:v>7.56</c:v>
                </c:pt>
                <c:pt idx="9">
                  <c:v>8.9</c:v>
                </c:pt>
                <c:pt idx="10">
                  <c:v>10.48</c:v>
                </c:pt>
                <c:pt idx="11">
                  <c:v>12.62</c:v>
                </c:pt>
                <c:pt idx="12">
                  <c:v>13.85</c:v>
                </c:pt>
                <c:pt idx="13">
                  <c:v>15.54</c:v>
                </c:pt>
                <c:pt idx="14">
                  <c:v>16.77</c:v>
                </c:pt>
                <c:pt idx="15">
                  <c:v>18.66</c:v>
                </c:pt>
                <c:pt idx="16">
                  <c:v>20.13</c:v>
                </c:pt>
                <c:pt idx="17">
                  <c:v>21.83</c:v>
                </c:pt>
                <c:pt idx="18">
                  <c:v>23.26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9B-4D7F-9A55-F79AE253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47583"/>
        <c:axId val="2001280463"/>
      </c:scatterChart>
      <c:valAx>
        <c:axId val="199574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U_c,</a:t>
                </a:r>
                <a:r>
                  <a:rPr lang="en-US" baseline="0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 </a:t>
                </a:r>
                <a:r>
                  <a:rPr lang="ru-RU" baseline="0">
                    <a:latin typeface="CMU Typewriter Text" panose="02000609000000000000" pitchFamily="49" charset="0"/>
                    <a:ea typeface="CMU Typewriter Text" panose="02000609000000000000" pitchFamily="49" charset="0"/>
                    <a:cs typeface="CMU Typewriter Text" panose="02000609000000000000" pitchFamily="49" charset="0"/>
                  </a:rPr>
                  <a:t>В</a:t>
                </a:r>
                <a:endParaRPr lang="ru-RU">
                  <a:latin typeface="CMU Typewriter Text" panose="02000609000000000000" pitchFamily="49" charset="0"/>
                  <a:ea typeface="CMU Typewriter Text" panose="02000609000000000000" pitchFamily="49" charset="0"/>
                  <a:cs typeface="CMU Typewriter Text" panose="02000609000000000000" pitchFamily="49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80463"/>
        <c:crosses val="autoZero"/>
        <c:crossBetween val="midCat"/>
      </c:valAx>
      <c:valAx>
        <c:axId val="200128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CMU Classical Serif" panose="02000603000000000000" pitchFamily="50" charset="0"/>
                    <a:ea typeface="CMU Classical Serif" panose="02000603000000000000" pitchFamily="50" charset="0"/>
                    <a:cs typeface="CMU Classical Serif" panose="02000603000000000000" pitchFamily="50" charset="0"/>
                  </a:rPr>
                  <a:t>I_a, </a:t>
                </a:r>
                <a:r>
                  <a:rPr lang="ru-RU">
                    <a:latin typeface="CMU Classical Serif" panose="02000603000000000000" pitchFamily="50" charset="0"/>
                    <a:ea typeface="CMU Classical Serif" panose="02000603000000000000" pitchFamily="50" charset="0"/>
                    <a:cs typeface="CMU Classical Serif" panose="02000603000000000000" pitchFamily="50" charset="0"/>
                  </a:rPr>
                  <a:t>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747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279380</xdr:colOff>
      <xdr:row>4</xdr:row>
      <xdr:rowOff>18766</xdr:rowOff>
    </xdr:from>
    <xdr:to>
      <xdr:col>45</xdr:col>
      <xdr:colOff>156148</xdr:colOff>
      <xdr:row>48</xdr:row>
      <xdr:rowOff>109991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05AD80D-7F93-CC34-0F63-2A183866E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183694</xdr:colOff>
      <xdr:row>3</xdr:row>
      <xdr:rowOff>125185</xdr:rowOff>
    </xdr:from>
    <xdr:to>
      <xdr:col>30</xdr:col>
      <xdr:colOff>435428</xdr:colOff>
      <xdr:row>49</xdr:row>
      <xdr:rowOff>163285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5CDFF44-01D4-B21D-F674-507E51261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4329</xdr:colOff>
      <xdr:row>0</xdr:row>
      <xdr:rowOff>190322</xdr:rowOff>
    </xdr:from>
    <xdr:to>
      <xdr:col>11</xdr:col>
      <xdr:colOff>6569</xdr:colOff>
      <xdr:row>18</xdr:row>
      <xdr:rowOff>6569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5F8B414-A059-E880-D05B-6E4E27508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604470</xdr:colOff>
      <xdr:row>3</xdr:row>
      <xdr:rowOff>0</xdr:rowOff>
    </xdr:from>
    <xdr:to>
      <xdr:col>12</xdr:col>
      <xdr:colOff>7326</xdr:colOff>
      <xdr:row>28</xdr:row>
      <xdr:rowOff>7327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5999B5-14CC-ABCC-556C-279872F94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66675</xdr:colOff>
      <xdr:row>4</xdr:row>
      <xdr:rowOff>85725</xdr:rowOff>
    </xdr:from>
    <xdr:to>
      <xdr:col>25</xdr:col>
      <xdr:colOff>561974</xdr:colOff>
      <xdr:row>27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91B9E3C-7D99-D74F-AE2D-D7AFAF5A9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BA5C-D61B-4222-85B9-8159D3D0F758}">
  <dimension ref="B1:X47"/>
  <sheetViews>
    <sheetView zoomScale="85" zoomScaleNormal="85" workbookViewId="0">
      <selection activeCell="F2" sqref="C2:F2"/>
    </sheetView>
  </sheetViews>
  <sheetFormatPr defaultRowHeight="14.25" x14ac:dyDescent="0.2"/>
  <cols>
    <col min="1" max="2" width="6.140625" style="1" bestFit="1" customWidth="1"/>
    <col min="3" max="4" width="13" style="1" bestFit="1" customWidth="1"/>
    <col min="5" max="6" width="11.85546875" style="1" bestFit="1" customWidth="1"/>
    <col min="7" max="7" width="14.28515625" style="1" bestFit="1" customWidth="1"/>
    <col min="8" max="9" width="9.140625" style="1"/>
    <col min="10" max="10" width="14.28515625" style="1" bestFit="1" customWidth="1"/>
    <col min="11" max="11" width="13" style="1" bestFit="1" customWidth="1"/>
    <col min="12" max="14" width="11.85546875" style="1" bestFit="1" customWidth="1"/>
    <col min="15" max="16" width="9.5703125" style="1" bestFit="1" customWidth="1"/>
    <col min="17" max="16384" width="9.140625" style="1"/>
  </cols>
  <sheetData>
    <row r="1" spans="2:24" ht="15" thickBot="1" x14ac:dyDescent="0.25"/>
    <row r="2" spans="2:24" x14ac:dyDescent="0.2">
      <c r="B2" s="7"/>
      <c r="C2" s="18" t="s">
        <v>4</v>
      </c>
      <c r="D2" s="18" t="s">
        <v>5</v>
      </c>
      <c r="E2" s="18" t="s">
        <v>1</v>
      </c>
      <c r="F2" s="18" t="s">
        <v>3</v>
      </c>
      <c r="G2" s="19" t="s">
        <v>6</v>
      </c>
    </row>
    <row r="3" spans="2:24" x14ac:dyDescent="0.2">
      <c r="B3" s="15" t="s">
        <v>0</v>
      </c>
      <c r="C3" s="16" t="s">
        <v>2</v>
      </c>
      <c r="D3" s="16" t="s">
        <v>2</v>
      </c>
      <c r="E3" s="16" t="s">
        <v>2</v>
      </c>
      <c r="F3" s="16" t="s">
        <v>2</v>
      </c>
      <c r="G3" s="17" t="s">
        <v>2</v>
      </c>
      <c r="H3" s="2"/>
      <c r="O3" s="2"/>
    </row>
    <row r="4" spans="2:24" x14ac:dyDescent="0.2">
      <c r="B4" s="13">
        <v>0</v>
      </c>
      <c r="C4" s="8"/>
      <c r="D4" s="8"/>
      <c r="E4" s="10">
        <v>0.14000000000000001</v>
      </c>
      <c r="F4" s="11">
        <v>0.13</v>
      </c>
      <c r="G4" s="9"/>
      <c r="H4" s="1" t="s">
        <v>13</v>
      </c>
      <c r="J4" s="1">
        <v>0</v>
      </c>
      <c r="K4" s="1">
        <v>0</v>
      </c>
      <c r="L4" s="1">
        <v>0</v>
      </c>
      <c r="M4" s="1">
        <v>0</v>
      </c>
      <c r="O4" s="37">
        <f>B4*0.005+0.299</f>
        <v>0.29899999999999999</v>
      </c>
      <c r="P4" s="2" t="str">
        <f t="shared" ref="P4:P22" si="0">IF(C4,C4*0.002+0.02,"--")</f>
        <v>--</v>
      </c>
      <c r="Q4" s="2" t="str">
        <f t="shared" ref="Q4:Q22" si="1">IF(D4,D4*0.002+0.02,"--")</f>
        <v>--</v>
      </c>
      <c r="R4" s="36">
        <f t="shared" ref="R4:R22" si="2">IF(E4,E4*0.002+0.02,"--")</f>
        <v>2.0279999999999999E-2</v>
      </c>
      <c r="S4" s="36">
        <f t="shared" ref="S4:S22" si="3">IF(F4,F4*0.002+0.02,"--")</f>
        <v>2.026E-2</v>
      </c>
    </row>
    <row r="5" spans="2:24" x14ac:dyDescent="0.2">
      <c r="B5" s="13">
        <v>10</v>
      </c>
      <c r="C5" s="8"/>
      <c r="D5" s="8"/>
      <c r="E5" s="10">
        <v>1.39</v>
      </c>
      <c r="F5" s="11">
        <v>4.67</v>
      </c>
      <c r="H5" s="20">
        <v>250</v>
      </c>
      <c r="J5" s="1">
        <f>IF((C5-C4)/($B5-$B4)=0,0,(C5-C4)/($B5-$B4))</f>
        <v>0</v>
      </c>
      <c r="K5" s="1">
        <f>(D5-D4)/($B5-$B4)</f>
        <v>0</v>
      </c>
      <c r="L5" s="31">
        <f t="shared" ref="L5:M7" si="4">($B5-$B4)/(E5-E4) *1000</f>
        <v>8000</v>
      </c>
      <c r="M5" s="31">
        <f t="shared" si="4"/>
        <v>2202.6431718061672</v>
      </c>
      <c r="O5" s="37">
        <f t="shared" ref="O5:O22" si="5">B5*0.005+0.299</f>
        <v>0.34899999999999998</v>
      </c>
      <c r="P5" s="2" t="str">
        <f t="shared" si="0"/>
        <v>--</v>
      </c>
      <c r="Q5" s="2" t="str">
        <f t="shared" si="1"/>
        <v>--</v>
      </c>
      <c r="R5" s="36">
        <f t="shared" si="2"/>
        <v>2.2780000000000002E-2</v>
      </c>
      <c r="S5" s="36">
        <f t="shared" si="3"/>
        <v>2.9339999999999998E-2</v>
      </c>
      <c r="U5" s="27" t="str">
        <f>IF(C4,(C5-C4)/($B5-$B4), "--")</f>
        <v>--</v>
      </c>
      <c r="V5" s="27" t="str">
        <f t="shared" ref="V5:X20" si="6">IF(D4,(D5-D4)/($B5-$B4), "--")</f>
        <v>--</v>
      </c>
      <c r="W5" s="27">
        <f t="shared" si="6"/>
        <v>0.125</v>
      </c>
      <c r="X5" s="27">
        <f t="shared" si="6"/>
        <v>0.45400000000000001</v>
      </c>
    </row>
    <row r="6" spans="2:24" x14ac:dyDescent="0.2">
      <c r="B6" s="13">
        <v>20</v>
      </c>
      <c r="C6" s="8"/>
      <c r="D6" s="8"/>
      <c r="E6" s="10">
        <v>2.35</v>
      </c>
      <c r="F6" s="11">
        <v>6.01</v>
      </c>
      <c r="H6" s="20">
        <v>125</v>
      </c>
      <c r="J6" s="1">
        <f>(C6-C5)/($B6-$B5)</f>
        <v>0</v>
      </c>
      <c r="K6" s="1">
        <f>(D6-D5)/($B6-$B5)</f>
        <v>0</v>
      </c>
      <c r="L6" s="31">
        <f t="shared" si="4"/>
        <v>10416.666666666664</v>
      </c>
      <c r="M6" s="31">
        <f t="shared" si="4"/>
        <v>7462.6865671641799</v>
      </c>
      <c r="O6" s="37">
        <f t="shared" si="5"/>
        <v>0.39900000000000002</v>
      </c>
      <c r="P6" s="2" t="str">
        <f t="shared" si="0"/>
        <v>--</v>
      </c>
      <c r="Q6" s="2" t="str">
        <f t="shared" si="1"/>
        <v>--</v>
      </c>
      <c r="R6" s="36">
        <f t="shared" si="2"/>
        <v>2.47E-2</v>
      </c>
      <c r="S6" s="36">
        <f t="shared" si="3"/>
        <v>3.202E-2</v>
      </c>
      <c r="U6" s="27" t="str">
        <f t="shared" ref="U6:U21" si="7">IF(C5,(C6-C5)/($B6-$B5), "--")</f>
        <v>--</v>
      </c>
      <c r="V6" s="27" t="str">
        <f t="shared" si="6"/>
        <v>--</v>
      </c>
      <c r="W6" s="27">
        <f t="shared" si="6"/>
        <v>9.6000000000000016E-2</v>
      </c>
      <c r="X6" s="27">
        <f t="shared" si="6"/>
        <v>0.13399999999999998</v>
      </c>
    </row>
    <row r="7" spans="2:24" x14ac:dyDescent="0.2">
      <c r="B7" s="13">
        <v>30</v>
      </c>
      <c r="C7" s="8"/>
      <c r="D7" s="8">
        <v>0.16</v>
      </c>
      <c r="E7" s="10">
        <v>3.39</v>
      </c>
      <c r="F7" s="11">
        <v>7.5</v>
      </c>
      <c r="H7" s="20">
        <v>83.333333333333329</v>
      </c>
      <c r="J7" s="1">
        <f>(C7-C6)/($B7-$B6)</f>
        <v>0</v>
      </c>
      <c r="K7" s="31">
        <f>($B7-$B6)/(D7-D6) *1000</f>
        <v>62500</v>
      </c>
      <c r="L7" s="31">
        <f t="shared" si="4"/>
        <v>9615.3846153846152</v>
      </c>
      <c r="M7" s="31">
        <f t="shared" si="4"/>
        <v>6711.4093959731536</v>
      </c>
      <c r="O7" s="37">
        <f t="shared" si="5"/>
        <v>0.44899999999999995</v>
      </c>
      <c r="P7" s="2" t="str">
        <f t="shared" si="0"/>
        <v>--</v>
      </c>
      <c r="Q7" s="36">
        <f t="shared" si="1"/>
        <v>2.0320000000000001E-2</v>
      </c>
      <c r="R7" s="36">
        <f t="shared" si="2"/>
        <v>2.6780000000000002E-2</v>
      </c>
      <c r="S7" s="36">
        <f t="shared" si="3"/>
        <v>3.5000000000000003E-2</v>
      </c>
      <c r="U7" s="27" t="str">
        <f t="shared" si="7"/>
        <v>--</v>
      </c>
      <c r="V7" s="27" t="str">
        <f t="shared" si="6"/>
        <v>--</v>
      </c>
      <c r="W7" s="27">
        <f t="shared" si="6"/>
        <v>0.10400000000000001</v>
      </c>
      <c r="X7" s="27">
        <f t="shared" si="6"/>
        <v>0.14900000000000002</v>
      </c>
    </row>
    <row r="8" spans="2:24" x14ac:dyDescent="0.2">
      <c r="B8" s="13">
        <v>40</v>
      </c>
      <c r="C8" s="8"/>
      <c r="D8" s="8">
        <v>0.54</v>
      </c>
      <c r="E8" s="10">
        <v>4.5</v>
      </c>
      <c r="F8" s="11">
        <v>8.9700000000000006</v>
      </c>
      <c r="H8" s="20">
        <v>62.5</v>
      </c>
      <c r="J8" s="1">
        <f>(C8-C7)/($B8-$B7)</f>
        <v>0</v>
      </c>
      <c r="K8" s="31">
        <f>($B8-$B7)/(D8-D7) *1000</f>
        <v>26315.78947368421</v>
      </c>
      <c r="L8" s="31">
        <f t="shared" ref="L8:L17" si="8">($B8-$B7)/(E8-E7) *1000</f>
        <v>9009.0090090090089</v>
      </c>
      <c r="M8" s="31">
        <f t="shared" ref="M8:M14" si="9">($B8-$B7)/(F8-F7) *1000</f>
        <v>6802.7210884353708</v>
      </c>
      <c r="O8" s="37">
        <f t="shared" si="5"/>
        <v>0.499</v>
      </c>
      <c r="P8" s="2" t="str">
        <f t="shared" si="0"/>
        <v>--</v>
      </c>
      <c r="Q8" s="36">
        <f t="shared" si="1"/>
        <v>2.1080000000000002E-2</v>
      </c>
      <c r="R8" s="36">
        <f t="shared" si="2"/>
        <v>2.9000000000000001E-2</v>
      </c>
      <c r="S8" s="36">
        <f t="shared" si="3"/>
        <v>3.7940000000000002E-2</v>
      </c>
      <c r="U8" s="27" t="str">
        <f t="shared" si="7"/>
        <v>--</v>
      </c>
      <c r="V8" s="27">
        <f t="shared" si="6"/>
        <v>3.7999999999999999E-2</v>
      </c>
      <c r="W8" s="27">
        <f t="shared" si="6"/>
        <v>0.11099999999999999</v>
      </c>
      <c r="X8" s="27">
        <f t="shared" si="6"/>
        <v>0.14700000000000008</v>
      </c>
    </row>
    <row r="9" spans="2:24" x14ac:dyDescent="0.2">
      <c r="B9" s="13">
        <v>50</v>
      </c>
      <c r="C9" s="8"/>
      <c r="D9" s="8">
        <v>1.1299999999999999</v>
      </c>
      <c r="E9" s="10">
        <v>5.77</v>
      </c>
      <c r="F9" s="11">
        <v>10.47</v>
      </c>
      <c r="H9" s="20">
        <v>50</v>
      </c>
      <c r="J9" s="1">
        <f>(C9-C8)/($B9-$B8)</f>
        <v>0</v>
      </c>
      <c r="K9" s="31">
        <f>($B9-$B8)/(D9-D8) *1000</f>
        <v>16949.152542372885</v>
      </c>
      <c r="L9" s="31">
        <f t="shared" si="8"/>
        <v>7874.0157480314992</v>
      </c>
      <c r="M9" s="31">
        <f t="shared" si="9"/>
        <v>6666.666666666667</v>
      </c>
      <c r="O9" s="37">
        <f t="shared" si="5"/>
        <v>0.54899999999999993</v>
      </c>
      <c r="P9" s="2" t="str">
        <f t="shared" si="0"/>
        <v>--</v>
      </c>
      <c r="Q9" s="36">
        <f t="shared" si="1"/>
        <v>2.2260000000000002E-2</v>
      </c>
      <c r="R9" s="36">
        <f t="shared" si="2"/>
        <v>3.1539999999999999E-2</v>
      </c>
      <c r="S9" s="36">
        <f t="shared" si="3"/>
        <v>4.0940000000000004E-2</v>
      </c>
      <c r="U9" s="27" t="str">
        <f t="shared" si="7"/>
        <v>--</v>
      </c>
      <c r="V9" s="27">
        <f t="shared" si="6"/>
        <v>5.8999999999999983E-2</v>
      </c>
      <c r="W9" s="27">
        <f t="shared" si="6"/>
        <v>0.12699999999999995</v>
      </c>
      <c r="X9" s="27">
        <f t="shared" si="6"/>
        <v>0.15</v>
      </c>
    </row>
    <row r="10" spans="2:24" x14ac:dyDescent="0.2">
      <c r="B10" s="13">
        <v>60</v>
      </c>
      <c r="C10" s="8">
        <v>0.12</v>
      </c>
      <c r="D10" s="8">
        <v>1.9</v>
      </c>
      <c r="E10" s="10">
        <v>6.97</v>
      </c>
      <c r="F10" s="11">
        <v>12</v>
      </c>
      <c r="H10" s="20">
        <v>41.666666666666664</v>
      </c>
      <c r="J10" s="1">
        <v>0</v>
      </c>
      <c r="K10" s="31">
        <f>($B10-$B9)/(D10-D9) *1000</f>
        <v>12987.012987012988</v>
      </c>
      <c r="L10" s="31">
        <f t="shared" si="8"/>
        <v>8333.3333333333321</v>
      </c>
      <c r="M10" s="31">
        <f t="shared" si="9"/>
        <v>6535.9477124183031</v>
      </c>
      <c r="O10" s="37">
        <f t="shared" si="5"/>
        <v>0.59899999999999998</v>
      </c>
      <c r="P10" s="36">
        <f t="shared" si="0"/>
        <v>2.0240000000000001E-2</v>
      </c>
      <c r="Q10" s="36">
        <f t="shared" si="1"/>
        <v>2.3800000000000002E-2</v>
      </c>
      <c r="R10" s="36">
        <f t="shared" si="2"/>
        <v>3.3939999999999998E-2</v>
      </c>
      <c r="S10" s="36">
        <f t="shared" si="3"/>
        <v>4.3999999999999997E-2</v>
      </c>
      <c r="U10" s="27" t="str">
        <f t="shared" si="7"/>
        <v>--</v>
      </c>
      <c r="V10" s="27">
        <f t="shared" si="6"/>
        <v>7.6999999999999999E-2</v>
      </c>
      <c r="W10" s="27">
        <f t="shared" si="6"/>
        <v>0.12000000000000002</v>
      </c>
      <c r="X10" s="27">
        <f t="shared" si="6"/>
        <v>0.15299999999999994</v>
      </c>
    </row>
    <row r="11" spans="2:24" x14ac:dyDescent="0.2">
      <c r="B11" s="13">
        <v>70</v>
      </c>
      <c r="C11" s="8">
        <v>0.34</v>
      </c>
      <c r="D11" s="8">
        <v>2.81</v>
      </c>
      <c r="E11" s="10">
        <v>8.33</v>
      </c>
      <c r="F11" s="11">
        <v>13.59</v>
      </c>
      <c r="H11" s="20">
        <v>35.714285714285715</v>
      </c>
      <c r="J11" s="31">
        <f>($B11-$B10)/(C11-C10) *1000</f>
        <v>45454.545454545449</v>
      </c>
      <c r="K11" s="31">
        <f>($B11-$B10)/(D11-D10) *1000</f>
        <v>10989.010989010987</v>
      </c>
      <c r="L11" s="31">
        <f t="shared" si="8"/>
        <v>7352.9411764705865</v>
      </c>
      <c r="M11" s="31">
        <f t="shared" si="9"/>
        <v>6289.3081761006297</v>
      </c>
      <c r="O11" s="37">
        <f t="shared" si="5"/>
        <v>0.64900000000000002</v>
      </c>
      <c r="P11" s="36">
        <f t="shared" si="0"/>
        <v>2.068E-2</v>
      </c>
      <c r="Q11" s="36">
        <f t="shared" si="1"/>
        <v>2.562E-2</v>
      </c>
      <c r="R11" s="36">
        <f t="shared" si="2"/>
        <v>3.6659999999999998E-2</v>
      </c>
      <c r="S11" s="36">
        <f t="shared" si="3"/>
        <v>4.718E-2</v>
      </c>
      <c r="U11" s="27">
        <f t="shared" si="7"/>
        <v>2.2000000000000002E-2</v>
      </c>
      <c r="V11" s="27">
        <f t="shared" si="6"/>
        <v>9.1000000000000011E-2</v>
      </c>
      <c r="W11" s="27">
        <f t="shared" si="6"/>
        <v>0.13600000000000004</v>
      </c>
      <c r="X11" s="27">
        <f t="shared" si="6"/>
        <v>0.15899999999999997</v>
      </c>
    </row>
    <row r="12" spans="2:24" x14ac:dyDescent="0.2">
      <c r="B12" s="13">
        <v>80</v>
      </c>
      <c r="C12" s="8">
        <v>0.72</v>
      </c>
      <c r="D12" s="8">
        <v>3.82</v>
      </c>
      <c r="E12" s="10">
        <v>9.7200000000000006</v>
      </c>
      <c r="F12" s="11">
        <v>15.2</v>
      </c>
      <c r="H12" s="20">
        <v>31.25</v>
      </c>
      <c r="J12" s="31">
        <f t="shared" ref="J12:J22" si="10">($B12-$B11)/(C12-C11) *1000</f>
        <v>26315.789473684214</v>
      </c>
      <c r="K12" s="31">
        <f t="shared" ref="K12:K18" si="11">($B12-$B11)/(D12-D11) *1000</f>
        <v>9900.9900990099031</v>
      </c>
      <c r="L12" s="31">
        <f t="shared" si="8"/>
        <v>7194.2446043165437</v>
      </c>
      <c r="M12" s="31">
        <f t="shared" si="9"/>
        <v>6211.1801242236043</v>
      </c>
      <c r="O12" s="37">
        <f t="shared" si="5"/>
        <v>0.69900000000000007</v>
      </c>
      <c r="P12" s="36">
        <f t="shared" si="0"/>
        <v>2.1440000000000001E-2</v>
      </c>
      <c r="Q12" s="36">
        <f t="shared" si="1"/>
        <v>2.7640000000000001E-2</v>
      </c>
      <c r="R12" s="36">
        <f t="shared" si="2"/>
        <v>3.9440000000000003E-2</v>
      </c>
      <c r="S12" s="36">
        <f t="shared" si="3"/>
        <v>5.04E-2</v>
      </c>
      <c r="U12" s="27">
        <f t="shared" si="7"/>
        <v>3.7999999999999992E-2</v>
      </c>
      <c r="V12" s="27">
        <f t="shared" si="6"/>
        <v>0.10099999999999998</v>
      </c>
      <c r="W12" s="27">
        <f t="shared" si="6"/>
        <v>0.13900000000000007</v>
      </c>
      <c r="X12" s="27">
        <f t="shared" si="6"/>
        <v>0.16099999999999995</v>
      </c>
    </row>
    <row r="13" spans="2:24" x14ac:dyDescent="0.2">
      <c r="B13" s="13">
        <v>90</v>
      </c>
      <c r="C13" s="8">
        <v>1.26</v>
      </c>
      <c r="D13" s="8">
        <v>4.92</v>
      </c>
      <c r="E13" s="10">
        <v>11.19</v>
      </c>
      <c r="F13" s="11">
        <v>16.88</v>
      </c>
      <c r="H13" s="20">
        <v>27.777777777777775</v>
      </c>
      <c r="J13" s="31">
        <f t="shared" si="10"/>
        <v>18518.518518518518</v>
      </c>
      <c r="K13" s="31">
        <f t="shared" si="11"/>
        <v>9090.9090909090901</v>
      </c>
      <c r="L13" s="31">
        <f t="shared" si="8"/>
        <v>6802.721088435379</v>
      </c>
      <c r="M13" s="31">
        <f t="shared" si="9"/>
        <v>5952.3809523809532</v>
      </c>
      <c r="O13" s="37">
        <f t="shared" si="5"/>
        <v>0.749</v>
      </c>
      <c r="P13" s="36">
        <f t="shared" si="0"/>
        <v>2.2520000000000002E-2</v>
      </c>
      <c r="Q13" s="36">
        <f t="shared" si="1"/>
        <v>2.9839999999999998E-2</v>
      </c>
      <c r="R13" s="36">
        <f t="shared" si="2"/>
        <v>4.2380000000000001E-2</v>
      </c>
      <c r="S13" s="36">
        <f t="shared" si="3"/>
        <v>5.3760000000000002E-2</v>
      </c>
      <c r="U13" s="27">
        <f t="shared" si="7"/>
        <v>5.4000000000000006E-2</v>
      </c>
      <c r="V13" s="27">
        <f t="shared" si="6"/>
        <v>0.11000000000000001</v>
      </c>
      <c r="W13" s="27">
        <f t="shared" si="6"/>
        <v>0.14699999999999988</v>
      </c>
      <c r="X13" s="27">
        <f t="shared" si="6"/>
        <v>0.16799999999999998</v>
      </c>
    </row>
    <row r="14" spans="2:24" x14ac:dyDescent="0.2">
      <c r="B14" s="13">
        <v>100</v>
      </c>
      <c r="C14" s="8">
        <v>1.95</v>
      </c>
      <c r="D14" s="8">
        <v>6.18</v>
      </c>
      <c r="E14" s="10">
        <v>12.73</v>
      </c>
      <c r="F14" s="11">
        <v>18.57</v>
      </c>
      <c r="H14" s="20">
        <v>25</v>
      </c>
      <c r="J14" s="31">
        <f t="shared" si="10"/>
        <v>14492.753623188406</v>
      </c>
      <c r="K14" s="31">
        <f t="shared" si="11"/>
        <v>7936.5079365079373</v>
      </c>
      <c r="L14" s="31">
        <f t="shared" si="8"/>
        <v>6493.5064935064902</v>
      </c>
      <c r="M14" s="31">
        <f t="shared" si="9"/>
        <v>5917.1597633136053</v>
      </c>
      <c r="O14" s="37">
        <f t="shared" si="5"/>
        <v>0.79899999999999993</v>
      </c>
      <c r="P14" s="36">
        <f t="shared" si="0"/>
        <v>2.3900000000000001E-2</v>
      </c>
      <c r="Q14" s="36">
        <f t="shared" si="1"/>
        <v>3.236E-2</v>
      </c>
      <c r="R14" s="36">
        <f t="shared" si="2"/>
        <v>4.546E-2</v>
      </c>
      <c r="S14" s="36">
        <f t="shared" si="3"/>
        <v>5.7139999999999996E-2</v>
      </c>
      <c r="U14" s="27">
        <f t="shared" si="7"/>
        <v>6.8999999999999992E-2</v>
      </c>
      <c r="V14" s="27">
        <f t="shared" si="6"/>
        <v>0.12599999999999997</v>
      </c>
      <c r="W14" s="27">
        <f t="shared" si="6"/>
        <v>0.15400000000000008</v>
      </c>
      <c r="X14" s="27">
        <f t="shared" si="6"/>
        <v>0.16900000000000012</v>
      </c>
    </row>
    <row r="15" spans="2:24" x14ac:dyDescent="0.2">
      <c r="B15" s="13">
        <v>110</v>
      </c>
      <c r="C15" s="8">
        <v>2.77</v>
      </c>
      <c r="D15" s="8">
        <v>7.46</v>
      </c>
      <c r="E15" s="10">
        <v>14.32</v>
      </c>
      <c r="F15" s="11">
        <v>20.309999999999999</v>
      </c>
      <c r="H15" s="20">
        <v>22.727272727272727</v>
      </c>
      <c r="J15" s="31">
        <f t="shared" si="10"/>
        <v>12195.121951219511</v>
      </c>
      <c r="K15" s="31">
        <f t="shared" si="11"/>
        <v>7812.4999999999982</v>
      </c>
      <c r="L15" s="31">
        <f t="shared" si="8"/>
        <v>6289.3081761006297</v>
      </c>
      <c r="M15" s="31">
        <f>($B15-$B14)/(F15-F14) *1000</f>
        <v>5747.1264367816138</v>
      </c>
      <c r="O15" s="37">
        <f t="shared" si="5"/>
        <v>0.84899999999999998</v>
      </c>
      <c r="P15" s="36">
        <f t="shared" si="0"/>
        <v>2.554E-2</v>
      </c>
      <c r="Q15" s="36">
        <f t="shared" si="1"/>
        <v>3.492E-2</v>
      </c>
      <c r="R15" s="36">
        <f t="shared" si="2"/>
        <v>4.8640000000000003E-2</v>
      </c>
      <c r="S15" s="36">
        <f t="shared" si="3"/>
        <v>6.0619999999999993E-2</v>
      </c>
      <c r="U15" s="27">
        <f t="shared" si="7"/>
        <v>8.2000000000000003E-2</v>
      </c>
      <c r="V15" s="27">
        <f t="shared" si="6"/>
        <v>0.12800000000000003</v>
      </c>
      <c r="W15" s="27">
        <f t="shared" si="6"/>
        <v>0.15899999999999997</v>
      </c>
      <c r="X15" s="27">
        <f t="shared" si="6"/>
        <v>0.17399999999999985</v>
      </c>
    </row>
    <row r="16" spans="2:24" x14ac:dyDescent="0.2">
      <c r="B16" s="13">
        <v>120</v>
      </c>
      <c r="C16" s="8">
        <v>3.72</v>
      </c>
      <c r="D16" s="8">
        <v>8.77</v>
      </c>
      <c r="E16" s="10">
        <v>15.45</v>
      </c>
      <c r="F16" s="8"/>
      <c r="H16" s="20">
        <v>20.833333333333332</v>
      </c>
      <c r="J16" s="31">
        <f t="shared" si="10"/>
        <v>10526.315789473681</v>
      </c>
      <c r="K16" s="31">
        <f t="shared" si="11"/>
        <v>7633.5877862595444</v>
      </c>
      <c r="L16" s="31">
        <f t="shared" si="8"/>
        <v>8849.5575221239014</v>
      </c>
      <c r="M16" s="1">
        <v>0</v>
      </c>
      <c r="O16" s="37">
        <f t="shared" si="5"/>
        <v>0.89900000000000002</v>
      </c>
      <c r="P16" s="36">
        <f t="shared" si="0"/>
        <v>2.7439999999999999E-2</v>
      </c>
      <c r="Q16" s="36">
        <f t="shared" si="1"/>
        <v>3.7540000000000004E-2</v>
      </c>
      <c r="R16" s="36">
        <f t="shared" si="2"/>
        <v>5.0900000000000001E-2</v>
      </c>
      <c r="S16" s="2" t="str">
        <f t="shared" si="3"/>
        <v>--</v>
      </c>
      <c r="U16" s="27">
        <f t="shared" si="7"/>
        <v>9.5000000000000015E-2</v>
      </c>
      <c r="V16" s="27">
        <f t="shared" si="6"/>
        <v>0.13099999999999995</v>
      </c>
      <c r="W16" s="27">
        <f t="shared" si="6"/>
        <v>0.11299999999999991</v>
      </c>
      <c r="X16" s="27">
        <f t="shared" si="6"/>
        <v>-2.0309999999999997</v>
      </c>
    </row>
    <row r="17" spans="2:24" x14ac:dyDescent="0.2">
      <c r="B17" s="13">
        <v>130</v>
      </c>
      <c r="C17" s="8">
        <v>4.75</v>
      </c>
      <c r="D17" s="8">
        <v>10.16</v>
      </c>
      <c r="E17" s="10">
        <v>17.600000000000001</v>
      </c>
      <c r="F17" s="8"/>
      <c r="H17" s="20">
        <v>19.230769230769234</v>
      </c>
      <c r="J17" s="31">
        <f t="shared" si="10"/>
        <v>9708.7378640776715</v>
      </c>
      <c r="K17" s="31">
        <f t="shared" si="11"/>
        <v>7194.2446043165437</v>
      </c>
      <c r="L17" s="31">
        <f t="shared" si="8"/>
        <v>4651.1627906976701</v>
      </c>
      <c r="M17" s="1">
        <f t="shared" ref="M17:M22" si="12">(F17-F16)/($B17-$B16)</f>
        <v>0</v>
      </c>
      <c r="O17" s="37">
        <f t="shared" si="5"/>
        <v>0.94900000000000007</v>
      </c>
      <c r="P17" s="36">
        <f t="shared" si="0"/>
        <v>2.9499999999999998E-2</v>
      </c>
      <c r="Q17" s="36">
        <f t="shared" si="1"/>
        <v>4.0320000000000002E-2</v>
      </c>
      <c r="R17" s="36">
        <f t="shared" si="2"/>
        <v>5.5199999999999999E-2</v>
      </c>
      <c r="S17" s="2" t="str">
        <f t="shared" si="3"/>
        <v>--</v>
      </c>
      <c r="U17" s="27">
        <f t="shared" si="7"/>
        <v>0.10299999999999998</v>
      </c>
      <c r="V17" s="27">
        <f t="shared" si="6"/>
        <v>0.13900000000000007</v>
      </c>
      <c r="W17" s="27">
        <f t="shared" si="6"/>
        <v>0.21500000000000022</v>
      </c>
      <c r="X17" s="27" t="str">
        <f t="shared" si="6"/>
        <v>--</v>
      </c>
    </row>
    <row r="18" spans="2:24" x14ac:dyDescent="0.2">
      <c r="B18" s="13">
        <v>140</v>
      </c>
      <c r="C18" s="8">
        <v>5.93</v>
      </c>
      <c r="D18" s="8">
        <v>11.65</v>
      </c>
      <c r="E18" s="8"/>
      <c r="F18" s="8"/>
      <c r="H18" s="20">
        <v>17.857142857142858</v>
      </c>
      <c r="J18" s="31">
        <f t="shared" si="10"/>
        <v>8474.5762711864427</v>
      </c>
      <c r="K18" s="31">
        <f t="shared" si="11"/>
        <v>6711.4093959731536</v>
      </c>
      <c r="L18" s="1">
        <v>0</v>
      </c>
      <c r="M18" s="1">
        <f t="shared" si="12"/>
        <v>0</v>
      </c>
      <c r="O18" s="37">
        <f t="shared" si="5"/>
        <v>0.99900000000000011</v>
      </c>
      <c r="P18" s="36">
        <f t="shared" si="0"/>
        <v>3.1859999999999999E-2</v>
      </c>
      <c r="Q18" s="36">
        <f t="shared" si="1"/>
        <v>4.3300000000000005E-2</v>
      </c>
      <c r="R18" s="2" t="str">
        <f t="shared" si="2"/>
        <v>--</v>
      </c>
      <c r="S18" s="2" t="str">
        <f t="shared" si="3"/>
        <v>--</v>
      </c>
      <c r="U18" s="27">
        <f t="shared" si="7"/>
        <v>0.11799999999999997</v>
      </c>
      <c r="V18" s="27">
        <f t="shared" si="6"/>
        <v>0.14900000000000002</v>
      </c>
      <c r="W18" s="27">
        <f t="shared" si="6"/>
        <v>-1.7600000000000002</v>
      </c>
      <c r="X18" s="27" t="str">
        <f t="shared" si="6"/>
        <v>--</v>
      </c>
    </row>
    <row r="19" spans="2:24" x14ac:dyDescent="0.2">
      <c r="B19" s="13">
        <v>150</v>
      </c>
      <c r="C19" s="8">
        <v>7.15</v>
      </c>
      <c r="D19" s="8"/>
      <c r="E19" s="8"/>
      <c r="F19" s="8"/>
      <c r="H19" s="20">
        <v>16.666666666666668</v>
      </c>
      <c r="J19" s="31">
        <f t="shared" si="10"/>
        <v>8196.7213114754049</v>
      </c>
      <c r="K19" s="1">
        <v>0</v>
      </c>
      <c r="L19" s="1">
        <f>(E19-E18)/($B19-$B18)</f>
        <v>0</v>
      </c>
      <c r="M19" s="1">
        <f t="shared" si="12"/>
        <v>0</v>
      </c>
      <c r="O19" s="37">
        <f t="shared" si="5"/>
        <v>1.0489999999999999</v>
      </c>
      <c r="P19" s="36">
        <f t="shared" si="0"/>
        <v>3.4299999999999997E-2</v>
      </c>
      <c r="Q19" s="2" t="str">
        <f t="shared" si="1"/>
        <v>--</v>
      </c>
      <c r="R19" s="2" t="str">
        <f t="shared" si="2"/>
        <v>--</v>
      </c>
      <c r="S19" s="2" t="str">
        <f t="shared" si="3"/>
        <v>--</v>
      </c>
      <c r="U19" s="27">
        <f t="shared" si="7"/>
        <v>0.12200000000000007</v>
      </c>
      <c r="V19" s="27">
        <f t="shared" si="6"/>
        <v>-1.165</v>
      </c>
      <c r="W19" s="27" t="str">
        <f t="shared" si="6"/>
        <v>--</v>
      </c>
      <c r="X19" s="27" t="str">
        <f t="shared" si="6"/>
        <v>--</v>
      </c>
    </row>
    <row r="20" spans="2:24" x14ac:dyDescent="0.2">
      <c r="B20" s="13">
        <v>160</v>
      </c>
      <c r="C20" s="8">
        <v>8.44</v>
      </c>
      <c r="D20" s="8"/>
      <c r="E20" s="8"/>
      <c r="F20" s="8"/>
      <c r="H20" s="20">
        <v>15.625</v>
      </c>
      <c r="J20" s="31">
        <f t="shared" si="10"/>
        <v>7751.9379844961286</v>
      </c>
      <c r="K20" s="1">
        <f>(D20-D19)/($B20-$B19)</f>
        <v>0</v>
      </c>
      <c r="L20" s="1">
        <f>(E20-E19)/($B20-$B19)</f>
        <v>0</v>
      </c>
      <c r="M20" s="1">
        <f t="shared" si="12"/>
        <v>0</v>
      </c>
      <c r="O20" s="37">
        <f t="shared" si="5"/>
        <v>1.099</v>
      </c>
      <c r="P20" s="36">
        <f t="shared" si="0"/>
        <v>3.6879999999999996E-2</v>
      </c>
      <c r="Q20" s="2" t="str">
        <f t="shared" si="1"/>
        <v>--</v>
      </c>
      <c r="R20" s="2" t="str">
        <f t="shared" si="2"/>
        <v>--</v>
      </c>
      <c r="S20" s="2" t="str">
        <f t="shared" si="3"/>
        <v>--</v>
      </c>
      <c r="U20" s="27">
        <f t="shared" si="7"/>
        <v>0.12899999999999992</v>
      </c>
      <c r="V20" s="27" t="str">
        <f t="shared" si="6"/>
        <v>--</v>
      </c>
      <c r="W20" s="27" t="str">
        <f t="shared" si="6"/>
        <v>--</v>
      </c>
      <c r="X20" s="27" t="str">
        <f t="shared" si="6"/>
        <v>--</v>
      </c>
    </row>
    <row r="21" spans="2:24" x14ac:dyDescent="0.2">
      <c r="B21" s="13">
        <v>170</v>
      </c>
      <c r="C21" s="8">
        <v>9.84</v>
      </c>
      <c r="D21" s="8"/>
      <c r="E21" s="8"/>
      <c r="F21" s="8"/>
      <c r="H21" s="20">
        <v>14.705882352941176</v>
      </c>
      <c r="J21" s="31">
        <f t="shared" si="10"/>
        <v>7142.8571428571413</v>
      </c>
      <c r="K21" s="1">
        <f>(D21-D20)/($B21-$B20)</f>
        <v>0</v>
      </c>
      <c r="L21" s="1">
        <f>(E21-E20)/($B21-$B20)</f>
        <v>0</v>
      </c>
      <c r="M21" s="1">
        <f t="shared" si="12"/>
        <v>0</v>
      </c>
      <c r="O21" s="37">
        <f t="shared" si="5"/>
        <v>1.149</v>
      </c>
      <c r="P21" s="36">
        <f t="shared" si="0"/>
        <v>3.968E-2</v>
      </c>
      <c r="Q21" s="2" t="str">
        <f t="shared" si="1"/>
        <v>--</v>
      </c>
      <c r="R21" s="2" t="str">
        <f t="shared" si="2"/>
        <v>--</v>
      </c>
      <c r="S21" s="2" t="str">
        <f t="shared" si="3"/>
        <v>--</v>
      </c>
      <c r="U21" s="27">
        <f t="shared" si="7"/>
        <v>0.14000000000000004</v>
      </c>
      <c r="V21" s="27" t="str">
        <f t="shared" ref="V21:X22" si="13">IF(D20,(D21-D20)/($B21-$B20), "--")</f>
        <v>--</v>
      </c>
      <c r="W21" s="27" t="str">
        <f t="shared" si="13"/>
        <v>--</v>
      </c>
      <c r="X21" s="27" t="str">
        <f t="shared" si="13"/>
        <v>--</v>
      </c>
    </row>
    <row r="22" spans="2:24" ht="15" thickBot="1" x14ac:dyDescent="0.25">
      <c r="B22" s="14">
        <v>180</v>
      </c>
      <c r="C22" s="12">
        <v>11.27</v>
      </c>
      <c r="D22" s="12"/>
      <c r="E22" s="12"/>
      <c r="F22" s="12"/>
      <c r="H22" s="21">
        <v>13.888888888888888</v>
      </c>
      <c r="J22" s="31">
        <f t="shared" si="10"/>
        <v>6993.006993006994</v>
      </c>
      <c r="K22" s="1">
        <f>(D22-D21)/($B22-$B21)</f>
        <v>0</v>
      </c>
      <c r="L22" s="1">
        <f>(E22-E21)/($B22-$B21)</f>
        <v>0</v>
      </c>
      <c r="M22" s="1">
        <f t="shared" si="12"/>
        <v>0</v>
      </c>
      <c r="O22" s="37">
        <f t="shared" si="5"/>
        <v>1.1990000000000001</v>
      </c>
      <c r="P22" s="36">
        <f t="shared" si="0"/>
        <v>4.2540000000000001E-2</v>
      </c>
      <c r="Q22" s="2" t="str">
        <f t="shared" si="1"/>
        <v>--</v>
      </c>
      <c r="R22" s="2" t="str">
        <f t="shared" si="2"/>
        <v>--</v>
      </c>
      <c r="S22" s="2" t="str">
        <f t="shared" si="3"/>
        <v>--</v>
      </c>
      <c r="U22" s="27">
        <f>IF(C21,(C22-C21)/($B22-$B21), "--")</f>
        <v>0.14299999999999996</v>
      </c>
      <c r="V22" s="27" t="str">
        <f t="shared" si="13"/>
        <v>--</v>
      </c>
      <c r="W22" s="27" t="str">
        <f t="shared" si="13"/>
        <v>--</v>
      </c>
      <c r="X22" s="27" t="str">
        <f t="shared" si="13"/>
        <v>--</v>
      </c>
    </row>
    <row r="23" spans="2:24" x14ac:dyDescent="0.2">
      <c r="B23" s="13">
        <v>190</v>
      </c>
      <c r="C23" s="25"/>
      <c r="D23" s="25"/>
      <c r="E23" s="25"/>
      <c r="F23" s="25"/>
      <c r="H23" s="26">
        <v>13.157894736842104</v>
      </c>
    </row>
    <row r="24" spans="2:24" ht="15" thickBot="1" x14ac:dyDescent="0.25">
      <c r="B24" s="14">
        <v>200</v>
      </c>
      <c r="C24" s="25"/>
      <c r="D24" s="25"/>
      <c r="E24" s="25"/>
      <c r="F24" s="25"/>
      <c r="H24" s="26">
        <v>12.5</v>
      </c>
    </row>
    <row r="25" spans="2:24" x14ac:dyDescent="0.2">
      <c r="B25" s="13">
        <v>210</v>
      </c>
      <c r="C25" s="25"/>
      <c r="D25" s="25"/>
      <c r="E25" s="25"/>
      <c r="F25" s="25"/>
      <c r="H25" s="26">
        <v>11.904761904761903</v>
      </c>
    </row>
    <row r="26" spans="2:24" ht="15" thickBot="1" x14ac:dyDescent="0.25">
      <c r="B26" s="14">
        <v>220</v>
      </c>
      <c r="C26" s="25"/>
      <c r="D26" s="25"/>
      <c r="E26" s="25"/>
      <c r="F26" s="25"/>
      <c r="H26" s="26">
        <v>11.363636363636363</v>
      </c>
    </row>
    <row r="27" spans="2:24" x14ac:dyDescent="0.2">
      <c r="B27" s="13">
        <v>230</v>
      </c>
      <c r="C27" s="25"/>
      <c r="D27" s="25"/>
      <c r="E27" s="25"/>
      <c r="F27" s="25"/>
      <c r="H27" s="26">
        <v>10.869565217391305</v>
      </c>
    </row>
    <row r="28" spans="2:24" ht="15" thickBot="1" x14ac:dyDescent="0.25">
      <c r="B28" s="14">
        <v>240</v>
      </c>
      <c r="C28" s="25"/>
      <c r="D28" s="25"/>
      <c r="E28" s="25"/>
      <c r="F28" s="25"/>
      <c r="H28" s="26">
        <v>10.416666666666666</v>
      </c>
    </row>
    <row r="34" spans="4:5" x14ac:dyDescent="0.2">
      <c r="D34" s="13">
        <v>0</v>
      </c>
      <c r="E34" s="11">
        <v>0.13</v>
      </c>
    </row>
    <row r="35" spans="4:5" x14ac:dyDescent="0.2">
      <c r="D35" s="13">
        <v>10</v>
      </c>
      <c r="E35" s="11">
        <v>4.67</v>
      </c>
    </row>
    <row r="36" spans="4:5" x14ac:dyDescent="0.2">
      <c r="D36" s="13">
        <v>20</v>
      </c>
      <c r="E36" s="11">
        <v>6.01</v>
      </c>
    </row>
    <row r="37" spans="4:5" x14ac:dyDescent="0.2">
      <c r="D37" s="13">
        <v>30</v>
      </c>
      <c r="E37" s="11">
        <v>7.5</v>
      </c>
    </row>
    <row r="38" spans="4:5" x14ac:dyDescent="0.2">
      <c r="D38" s="13">
        <v>40</v>
      </c>
      <c r="E38" s="11">
        <v>8.9700000000000006</v>
      </c>
    </row>
    <row r="39" spans="4:5" x14ac:dyDescent="0.2">
      <c r="D39" s="13">
        <v>50</v>
      </c>
      <c r="E39" s="11">
        <v>10.47</v>
      </c>
    </row>
    <row r="40" spans="4:5" x14ac:dyDescent="0.2">
      <c r="D40" s="13">
        <v>60</v>
      </c>
      <c r="E40" s="11">
        <v>12</v>
      </c>
    </row>
    <row r="41" spans="4:5" x14ac:dyDescent="0.2">
      <c r="D41" s="13">
        <v>70</v>
      </c>
      <c r="E41" s="11">
        <v>13.59</v>
      </c>
    </row>
    <row r="42" spans="4:5" x14ac:dyDescent="0.2">
      <c r="D42" s="13">
        <v>80</v>
      </c>
      <c r="E42" s="11">
        <v>15.2</v>
      </c>
    </row>
    <row r="43" spans="4:5" x14ac:dyDescent="0.2">
      <c r="D43" s="13">
        <v>90</v>
      </c>
      <c r="E43" s="11">
        <v>16.88</v>
      </c>
    </row>
    <row r="44" spans="4:5" x14ac:dyDescent="0.2">
      <c r="D44" s="13">
        <v>100</v>
      </c>
      <c r="E44" s="11">
        <v>18.57</v>
      </c>
    </row>
    <row r="45" spans="4:5" x14ac:dyDescent="0.2">
      <c r="D45" s="13">
        <v>110</v>
      </c>
      <c r="E45" s="11">
        <v>20.309999999999999</v>
      </c>
    </row>
    <row r="46" spans="4:5" x14ac:dyDescent="0.2">
      <c r="D46" s="13">
        <v>120</v>
      </c>
      <c r="E46" s="10">
        <v>15.45</v>
      </c>
    </row>
    <row r="47" spans="4:5" x14ac:dyDescent="0.2">
      <c r="D47" s="13">
        <v>130</v>
      </c>
      <c r="E47" s="10">
        <v>17.600000000000001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F2E6-6FA3-40A8-BF1F-FBF97ABAB3AA}">
  <dimension ref="C2:W21"/>
  <sheetViews>
    <sheetView workbookViewId="0">
      <selection activeCell="C3" sqref="C3:G21"/>
    </sheetView>
  </sheetViews>
  <sheetFormatPr defaultRowHeight="14.25" x14ac:dyDescent="0.25"/>
  <cols>
    <col min="1" max="16384" width="9.140625" style="2"/>
  </cols>
  <sheetData>
    <row r="2" spans="3:23" x14ac:dyDescent="0.25">
      <c r="J2" s="40" t="s">
        <v>23</v>
      </c>
      <c r="K2" s="40"/>
      <c r="L2" s="40"/>
      <c r="M2" s="40"/>
      <c r="O2" s="40" t="s">
        <v>24</v>
      </c>
      <c r="P2" s="40"/>
      <c r="Q2" s="40"/>
      <c r="R2" s="40"/>
    </row>
    <row r="3" spans="3:23" x14ac:dyDescent="0.25">
      <c r="C3" s="8">
        <v>0</v>
      </c>
      <c r="D3" s="8"/>
      <c r="E3" s="8"/>
      <c r="F3" s="10">
        <v>0.14000000000000001</v>
      </c>
      <c r="G3" s="10">
        <v>0.13</v>
      </c>
      <c r="J3" s="2" t="str">
        <f>IF(AND(ISNUMBER(D2),ISNUMBER(D3)), (D3 - D2) / ($C3 -$C2), "--")</f>
        <v>--</v>
      </c>
      <c r="K3" s="2" t="str">
        <f t="shared" ref="K3:M18" si="0">IF(AND(ISNUMBER(E2),ISNUMBER(E3)), (E3 - E2) / ($C3 -$C2), "--")</f>
        <v>--</v>
      </c>
      <c r="L3" s="2" t="str">
        <f t="shared" si="0"/>
        <v>--</v>
      </c>
      <c r="M3" s="2" t="str">
        <f t="shared" si="0"/>
        <v>--</v>
      </c>
      <c r="O3" s="2" t="str">
        <f>IF(AND(ISNUMBER(D2),ISNUMBER(D3)), ($C3 -$C2) / (D3 - D2), "--")</f>
        <v>--</v>
      </c>
      <c r="P3" s="2" t="str">
        <f t="shared" ref="P3:R18" si="1">IF(AND(ISNUMBER(E2),ISNUMBER(E3)), ($C3 -$C2) / (E3 - E2), "--")</f>
        <v>--</v>
      </c>
      <c r="Q3" s="2" t="str">
        <f t="shared" si="1"/>
        <v>--</v>
      </c>
      <c r="R3" s="2" t="str">
        <f t="shared" si="1"/>
        <v>--</v>
      </c>
      <c r="T3" s="2" t="str">
        <f>IF(AND(J3&lt;&gt;"--", O3&lt;&gt;"--"), J3*O3, "--")</f>
        <v>--</v>
      </c>
      <c r="U3" s="38" t="str">
        <f t="shared" ref="U3:W18" si="2">IF(AND(K3&lt;&gt;"--", P3&lt;&gt;"--"), K3*P3, "--")</f>
        <v>--</v>
      </c>
      <c r="V3" s="38" t="str">
        <f t="shared" si="2"/>
        <v>--</v>
      </c>
      <c r="W3" s="38" t="str">
        <f t="shared" si="2"/>
        <v>--</v>
      </c>
    </row>
    <row r="4" spans="3:23" x14ac:dyDescent="0.25">
      <c r="C4" s="8">
        <v>10</v>
      </c>
      <c r="D4" s="8"/>
      <c r="E4" s="8"/>
      <c r="F4" s="10">
        <v>1.39</v>
      </c>
      <c r="G4" s="10">
        <v>4.67</v>
      </c>
      <c r="J4" s="2" t="str">
        <f t="shared" ref="J4:J21" si="3">IF(AND(ISNUMBER(D3),ISNUMBER(D4)), (D4 - D3) / ($C4 -$C3), "--")</f>
        <v>--</v>
      </c>
      <c r="K4" s="2" t="str">
        <f t="shared" si="0"/>
        <v>--</v>
      </c>
      <c r="L4" s="2">
        <f t="shared" si="0"/>
        <v>0.125</v>
      </c>
      <c r="M4" s="2">
        <f t="shared" si="0"/>
        <v>0.45400000000000001</v>
      </c>
      <c r="O4" s="2" t="str">
        <f t="shared" ref="O4:O21" si="4">IF(AND(ISNUMBER(D3),ISNUMBER(D4)), ($C4 -$C3) / (D4 - D3), "--")</f>
        <v>--</v>
      </c>
      <c r="P4" s="2" t="str">
        <f t="shared" si="1"/>
        <v>--</v>
      </c>
      <c r="Q4" s="2">
        <f t="shared" si="1"/>
        <v>8</v>
      </c>
      <c r="R4" s="2">
        <f t="shared" si="1"/>
        <v>2.2026431718061672</v>
      </c>
      <c r="T4" s="38" t="str">
        <f t="shared" ref="T4:T21" si="5">IF(AND(J4&lt;&gt;"--", O4&lt;&gt;"--"), J4*O4, "--")</f>
        <v>--</v>
      </c>
      <c r="U4" s="38" t="str">
        <f t="shared" si="2"/>
        <v>--</v>
      </c>
      <c r="V4" s="38">
        <f t="shared" si="2"/>
        <v>1</v>
      </c>
      <c r="W4" s="38">
        <f t="shared" si="2"/>
        <v>0.99999999999999989</v>
      </c>
    </row>
    <row r="5" spans="3:23" x14ac:dyDescent="0.25">
      <c r="C5" s="8">
        <v>20</v>
      </c>
      <c r="D5" s="8"/>
      <c r="E5" s="8"/>
      <c r="F5" s="10">
        <v>2.35</v>
      </c>
      <c r="G5" s="10">
        <v>6.01</v>
      </c>
      <c r="J5" s="2" t="str">
        <f t="shared" si="3"/>
        <v>--</v>
      </c>
      <c r="K5" s="2" t="str">
        <f t="shared" si="0"/>
        <v>--</v>
      </c>
      <c r="L5" s="2">
        <f t="shared" si="0"/>
        <v>9.6000000000000016E-2</v>
      </c>
      <c r="M5" s="2">
        <f t="shared" si="0"/>
        <v>0.13399999999999998</v>
      </c>
      <c r="O5" s="2" t="str">
        <f t="shared" si="4"/>
        <v>--</v>
      </c>
      <c r="P5" s="2" t="str">
        <f t="shared" si="1"/>
        <v>--</v>
      </c>
      <c r="Q5" s="2">
        <f t="shared" si="1"/>
        <v>10.416666666666664</v>
      </c>
      <c r="R5" s="2">
        <f t="shared" si="1"/>
        <v>7.4626865671641802</v>
      </c>
      <c r="T5" s="38" t="str">
        <f t="shared" si="5"/>
        <v>--</v>
      </c>
      <c r="U5" s="38" t="str">
        <f t="shared" si="2"/>
        <v>--</v>
      </c>
      <c r="V5" s="38">
        <f t="shared" si="2"/>
        <v>0.99999999999999989</v>
      </c>
      <c r="W5" s="38">
        <f t="shared" si="2"/>
        <v>1</v>
      </c>
    </row>
    <row r="6" spans="3:23" x14ac:dyDescent="0.25">
      <c r="C6" s="8">
        <v>30</v>
      </c>
      <c r="D6" s="8"/>
      <c r="E6" s="8">
        <v>0.16</v>
      </c>
      <c r="F6" s="10">
        <v>3.39</v>
      </c>
      <c r="G6" s="10">
        <v>7.5</v>
      </c>
      <c r="J6" s="2" t="str">
        <f t="shared" si="3"/>
        <v>--</v>
      </c>
      <c r="K6" s="2" t="str">
        <f t="shared" si="0"/>
        <v>--</v>
      </c>
      <c r="L6" s="2">
        <f t="shared" si="0"/>
        <v>0.10400000000000001</v>
      </c>
      <c r="M6" s="2">
        <f t="shared" si="0"/>
        <v>0.14900000000000002</v>
      </c>
      <c r="O6" s="2" t="str">
        <f t="shared" si="4"/>
        <v>--</v>
      </c>
      <c r="P6" s="2" t="str">
        <f t="shared" si="1"/>
        <v>--</v>
      </c>
      <c r="Q6" s="2">
        <f t="shared" si="1"/>
        <v>9.615384615384615</v>
      </c>
      <c r="R6" s="2">
        <f t="shared" si="1"/>
        <v>6.7114093959731536</v>
      </c>
      <c r="T6" s="38" t="str">
        <f t="shared" si="5"/>
        <v>--</v>
      </c>
      <c r="U6" s="38" t="str">
        <f t="shared" si="2"/>
        <v>--</v>
      </c>
      <c r="V6" s="38">
        <f t="shared" si="2"/>
        <v>1</v>
      </c>
      <c r="W6" s="38">
        <f t="shared" si="2"/>
        <v>1</v>
      </c>
    </row>
    <row r="7" spans="3:23" x14ac:dyDescent="0.25">
      <c r="C7" s="8">
        <v>40</v>
      </c>
      <c r="D7" s="8"/>
      <c r="E7" s="8">
        <v>0.54</v>
      </c>
      <c r="F7" s="10">
        <v>4.5</v>
      </c>
      <c r="G7" s="10">
        <v>8.9700000000000006</v>
      </c>
      <c r="J7" s="2" t="str">
        <f t="shared" si="3"/>
        <v>--</v>
      </c>
      <c r="K7" s="2">
        <f t="shared" si="0"/>
        <v>3.7999999999999999E-2</v>
      </c>
      <c r="L7" s="2">
        <f t="shared" si="0"/>
        <v>0.11099999999999999</v>
      </c>
      <c r="M7" s="2">
        <f t="shared" si="0"/>
        <v>0.14700000000000008</v>
      </c>
      <c r="O7" s="2" t="str">
        <f t="shared" si="4"/>
        <v>--</v>
      </c>
      <c r="P7" s="2">
        <f t="shared" si="1"/>
        <v>26.315789473684209</v>
      </c>
      <c r="Q7" s="2">
        <f t="shared" si="1"/>
        <v>9.0090090090090094</v>
      </c>
      <c r="R7" s="2">
        <f t="shared" si="1"/>
        <v>6.802721088435371</v>
      </c>
      <c r="T7" s="38" t="str">
        <f t="shared" si="5"/>
        <v>--</v>
      </c>
      <c r="U7" s="38">
        <f t="shared" si="2"/>
        <v>0.99999999999999989</v>
      </c>
      <c r="V7" s="38">
        <f t="shared" si="2"/>
        <v>0.99999999999999989</v>
      </c>
      <c r="W7" s="38">
        <f t="shared" si="2"/>
        <v>1</v>
      </c>
    </row>
    <row r="8" spans="3:23" x14ac:dyDescent="0.25">
      <c r="C8" s="8">
        <v>50</v>
      </c>
      <c r="D8" s="8"/>
      <c r="E8" s="8">
        <v>1.1299999999999999</v>
      </c>
      <c r="F8" s="10">
        <v>5.77</v>
      </c>
      <c r="G8" s="10">
        <v>10.47</v>
      </c>
      <c r="J8" s="2" t="str">
        <f t="shared" si="3"/>
        <v>--</v>
      </c>
      <c r="K8" s="2">
        <f t="shared" si="0"/>
        <v>5.8999999999999983E-2</v>
      </c>
      <c r="L8" s="2">
        <f t="shared" si="0"/>
        <v>0.12699999999999995</v>
      </c>
      <c r="M8" s="2">
        <f t="shared" si="0"/>
        <v>0.15</v>
      </c>
      <c r="O8" s="2" t="str">
        <f t="shared" si="4"/>
        <v>--</v>
      </c>
      <c r="P8" s="2">
        <f t="shared" si="1"/>
        <v>16.949152542372886</v>
      </c>
      <c r="Q8" s="2">
        <f t="shared" si="1"/>
        <v>7.874015748031499</v>
      </c>
      <c r="R8" s="2">
        <f t="shared" si="1"/>
        <v>6.666666666666667</v>
      </c>
      <c r="T8" s="38" t="str">
        <f t="shared" si="5"/>
        <v>--</v>
      </c>
      <c r="U8" s="38">
        <f t="shared" si="2"/>
        <v>1</v>
      </c>
      <c r="V8" s="38">
        <f t="shared" si="2"/>
        <v>0.99999999999999989</v>
      </c>
      <c r="W8" s="38">
        <f t="shared" si="2"/>
        <v>1</v>
      </c>
    </row>
    <row r="9" spans="3:23" x14ac:dyDescent="0.25">
      <c r="C9" s="8">
        <v>60</v>
      </c>
      <c r="D9" s="8">
        <v>0.12</v>
      </c>
      <c r="E9" s="8">
        <v>1.9</v>
      </c>
      <c r="F9" s="10">
        <v>6.97</v>
      </c>
      <c r="G9" s="10">
        <v>12</v>
      </c>
      <c r="J9" s="2" t="str">
        <f t="shared" si="3"/>
        <v>--</v>
      </c>
      <c r="K9" s="2">
        <f t="shared" si="0"/>
        <v>7.6999999999999999E-2</v>
      </c>
      <c r="L9" s="2">
        <f t="shared" si="0"/>
        <v>0.12000000000000002</v>
      </c>
      <c r="M9" s="2">
        <f t="shared" si="0"/>
        <v>0.15299999999999994</v>
      </c>
      <c r="O9" s="2" t="str">
        <f t="shared" si="4"/>
        <v>--</v>
      </c>
      <c r="P9" s="2">
        <f t="shared" si="1"/>
        <v>12.987012987012987</v>
      </c>
      <c r="Q9" s="2">
        <f t="shared" si="1"/>
        <v>8.3333333333333321</v>
      </c>
      <c r="R9" s="2">
        <f t="shared" si="1"/>
        <v>6.5359477124183032</v>
      </c>
      <c r="T9" s="38" t="str">
        <f t="shared" si="5"/>
        <v>--</v>
      </c>
      <c r="U9" s="38">
        <f t="shared" si="2"/>
        <v>1</v>
      </c>
      <c r="V9" s="38">
        <f t="shared" si="2"/>
        <v>1</v>
      </c>
      <c r="W9" s="38">
        <f t="shared" si="2"/>
        <v>1</v>
      </c>
    </row>
    <row r="10" spans="3:23" x14ac:dyDescent="0.25">
      <c r="C10" s="8">
        <v>70</v>
      </c>
      <c r="D10" s="8">
        <v>0.34</v>
      </c>
      <c r="E10" s="8">
        <v>2.81</v>
      </c>
      <c r="F10" s="10">
        <v>8.33</v>
      </c>
      <c r="G10" s="10">
        <v>13.59</v>
      </c>
      <c r="J10" s="2">
        <f t="shared" si="3"/>
        <v>2.2000000000000002E-2</v>
      </c>
      <c r="K10" s="2">
        <f t="shared" si="0"/>
        <v>9.1000000000000011E-2</v>
      </c>
      <c r="L10" s="2">
        <f t="shared" si="0"/>
        <v>0.13600000000000004</v>
      </c>
      <c r="M10" s="2">
        <f t="shared" si="0"/>
        <v>0.15899999999999997</v>
      </c>
      <c r="O10" s="2">
        <f t="shared" si="4"/>
        <v>45.454545454545446</v>
      </c>
      <c r="P10" s="2">
        <f t="shared" si="1"/>
        <v>10.989010989010987</v>
      </c>
      <c r="Q10" s="2">
        <f t="shared" si="1"/>
        <v>7.3529411764705861</v>
      </c>
      <c r="R10" s="2">
        <f t="shared" si="1"/>
        <v>6.2893081761006293</v>
      </c>
      <c r="T10" s="38">
        <f t="shared" si="5"/>
        <v>0.99999999999999989</v>
      </c>
      <c r="U10" s="38">
        <f t="shared" si="2"/>
        <v>1</v>
      </c>
      <c r="V10" s="38">
        <f t="shared" si="2"/>
        <v>1</v>
      </c>
      <c r="W10" s="38">
        <f t="shared" si="2"/>
        <v>0.99999999999999989</v>
      </c>
    </row>
    <row r="11" spans="3:23" x14ac:dyDescent="0.25">
      <c r="C11" s="8">
        <v>80</v>
      </c>
      <c r="D11" s="8">
        <v>0.72</v>
      </c>
      <c r="E11" s="8">
        <v>3.82</v>
      </c>
      <c r="F11" s="10">
        <v>9.7200000000000006</v>
      </c>
      <c r="G11" s="10">
        <v>15.2</v>
      </c>
      <c r="J11" s="2">
        <f t="shared" si="3"/>
        <v>3.7999999999999992E-2</v>
      </c>
      <c r="K11" s="2">
        <f t="shared" si="0"/>
        <v>0.10099999999999998</v>
      </c>
      <c r="L11" s="2">
        <f t="shared" si="0"/>
        <v>0.13900000000000007</v>
      </c>
      <c r="M11" s="2">
        <f t="shared" si="0"/>
        <v>0.16099999999999995</v>
      </c>
      <c r="O11" s="2">
        <f t="shared" si="4"/>
        <v>26.315789473684212</v>
      </c>
      <c r="P11" s="2">
        <f t="shared" si="1"/>
        <v>9.9009900990099027</v>
      </c>
      <c r="Q11" s="2">
        <f t="shared" si="1"/>
        <v>7.1942446043165438</v>
      </c>
      <c r="R11" s="2">
        <f t="shared" si="1"/>
        <v>6.2111801242236044</v>
      </c>
      <c r="T11" s="38">
        <f t="shared" si="5"/>
        <v>0.99999999999999989</v>
      </c>
      <c r="U11" s="38">
        <f t="shared" si="2"/>
        <v>1</v>
      </c>
      <c r="V11" s="38">
        <f t="shared" si="2"/>
        <v>1</v>
      </c>
      <c r="W11" s="38">
        <f t="shared" si="2"/>
        <v>1</v>
      </c>
    </row>
    <row r="12" spans="3:23" x14ac:dyDescent="0.25">
      <c r="C12" s="8">
        <v>90</v>
      </c>
      <c r="D12" s="8">
        <v>1.26</v>
      </c>
      <c r="E12" s="8">
        <v>4.92</v>
      </c>
      <c r="F12" s="10">
        <v>11.19</v>
      </c>
      <c r="G12" s="10">
        <v>16.88</v>
      </c>
      <c r="J12" s="2">
        <f t="shared" si="3"/>
        <v>5.4000000000000006E-2</v>
      </c>
      <c r="K12" s="2">
        <f t="shared" si="0"/>
        <v>0.11000000000000001</v>
      </c>
      <c r="L12" s="2">
        <f t="shared" si="0"/>
        <v>0.14699999999999988</v>
      </c>
      <c r="M12" s="2">
        <f t="shared" si="0"/>
        <v>0.16799999999999998</v>
      </c>
      <c r="O12" s="2">
        <f t="shared" si="4"/>
        <v>18.518518518518519</v>
      </c>
      <c r="P12" s="2">
        <f t="shared" si="1"/>
        <v>9.0909090909090899</v>
      </c>
      <c r="Q12" s="2">
        <f t="shared" si="1"/>
        <v>6.802721088435379</v>
      </c>
      <c r="R12" s="2">
        <f t="shared" si="1"/>
        <v>5.9523809523809534</v>
      </c>
      <c r="T12" s="38">
        <f t="shared" si="5"/>
        <v>1.0000000000000002</v>
      </c>
      <c r="U12" s="38">
        <f t="shared" si="2"/>
        <v>1</v>
      </c>
      <c r="V12" s="38">
        <f t="shared" si="2"/>
        <v>0.99999999999999989</v>
      </c>
      <c r="W12" s="38">
        <f t="shared" si="2"/>
        <v>1</v>
      </c>
    </row>
    <row r="13" spans="3:23" x14ac:dyDescent="0.25">
      <c r="C13" s="8">
        <v>100</v>
      </c>
      <c r="D13" s="8">
        <v>1.95</v>
      </c>
      <c r="E13" s="8">
        <v>6.18</v>
      </c>
      <c r="F13" s="10">
        <v>12.73</v>
      </c>
      <c r="G13" s="10">
        <v>18.57</v>
      </c>
      <c r="J13" s="2">
        <f t="shared" si="3"/>
        <v>6.8999999999999992E-2</v>
      </c>
      <c r="K13" s="2">
        <f t="shared" si="0"/>
        <v>0.12599999999999997</v>
      </c>
      <c r="L13" s="2">
        <f t="shared" si="0"/>
        <v>0.15400000000000008</v>
      </c>
      <c r="M13" s="2">
        <f t="shared" si="0"/>
        <v>0.16900000000000012</v>
      </c>
      <c r="O13" s="2">
        <f t="shared" si="4"/>
        <v>14.492753623188406</v>
      </c>
      <c r="P13" s="2">
        <f t="shared" si="1"/>
        <v>7.9365079365079376</v>
      </c>
      <c r="Q13" s="2">
        <f t="shared" si="1"/>
        <v>6.4935064935064899</v>
      </c>
      <c r="R13" s="2">
        <f t="shared" si="1"/>
        <v>5.917159763313605</v>
      </c>
      <c r="T13" s="38">
        <f t="shared" si="5"/>
        <v>0.99999999999999989</v>
      </c>
      <c r="U13" s="38">
        <f t="shared" si="2"/>
        <v>0.99999999999999989</v>
      </c>
      <c r="V13" s="38">
        <f t="shared" si="2"/>
        <v>1</v>
      </c>
      <c r="W13" s="38">
        <f t="shared" si="2"/>
        <v>1</v>
      </c>
    </row>
    <row r="14" spans="3:23" x14ac:dyDescent="0.25">
      <c r="C14" s="8">
        <v>110</v>
      </c>
      <c r="D14" s="8">
        <v>2.77</v>
      </c>
      <c r="E14" s="8">
        <v>7.46</v>
      </c>
      <c r="F14" s="10">
        <v>14.32</v>
      </c>
      <c r="G14" s="10">
        <v>20.309999999999999</v>
      </c>
      <c r="J14" s="2">
        <f t="shared" si="3"/>
        <v>8.2000000000000003E-2</v>
      </c>
      <c r="K14" s="2">
        <f t="shared" si="0"/>
        <v>0.12800000000000003</v>
      </c>
      <c r="L14" s="2">
        <f t="shared" si="0"/>
        <v>0.15899999999999997</v>
      </c>
      <c r="M14" s="2">
        <f t="shared" si="0"/>
        <v>0.17399999999999985</v>
      </c>
      <c r="O14" s="2">
        <f t="shared" si="4"/>
        <v>12.195121951219511</v>
      </c>
      <c r="P14" s="2">
        <f t="shared" si="1"/>
        <v>7.8124999999999982</v>
      </c>
      <c r="Q14" s="2">
        <f t="shared" si="1"/>
        <v>6.2893081761006293</v>
      </c>
      <c r="R14" s="2">
        <f t="shared" si="1"/>
        <v>5.7471264367816142</v>
      </c>
      <c r="T14" s="38">
        <f t="shared" si="5"/>
        <v>0.99999999999999989</v>
      </c>
      <c r="U14" s="38">
        <f t="shared" si="2"/>
        <v>1</v>
      </c>
      <c r="V14" s="38">
        <f t="shared" si="2"/>
        <v>0.99999999999999989</v>
      </c>
      <c r="W14" s="38">
        <f t="shared" si="2"/>
        <v>1</v>
      </c>
    </row>
    <row r="15" spans="3:23" x14ac:dyDescent="0.25">
      <c r="C15" s="8">
        <v>120</v>
      </c>
      <c r="D15" s="8">
        <v>3.72</v>
      </c>
      <c r="E15" s="8">
        <v>8.77</v>
      </c>
      <c r="F15" s="10">
        <v>15.45</v>
      </c>
      <c r="G15" s="8"/>
      <c r="J15" s="2">
        <f t="shared" si="3"/>
        <v>9.5000000000000015E-2</v>
      </c>
      <c r="K15" s="2">
        <f t="shared" si="0"/>
        <v>0.13099999999999995</v>
      </c>
      <c r="L15" s="2">
        <f t="shared" si="0"/>
        <v>0.11299999999999991</v>
      </c>
      <c r="M15" s="2" t="str">
        <f t="shared" si="0"/>
        <v>--</v>
      </c>
      <c r="O15" s="2">
        <f t="shared" si="4"/>
        <v>10.526315789473681</v>
      </c>
      <c r="P15" s="2">
        <f t="shared" si="1"/>
        <v>7.633587786259544</v>
      </c>
      <c r="Q15" s="2">
        <f t="shared" si="1"/>
        <v>8.8495575221239022</v>
      </c>
      <c r="R15" s="2" t="str">
        <f t="shared" si="1"/>
        <v>--</v>
      </c>
      <c r="T15" s="38">
        <f t="shared" si="5"/>
        <v>0.99999999999999989</v>
      </c>
      <c r="U15" s="38">
        <f t="shared" si="2"/>
        <v>0.99999999999999989</v>
      </c>
      <c r="V15" s="38">
        <f t="shared" si="2"/>
        <v>1.0000000000000002</v>
      </c>
      <c r="W15" s="38" t="str">
        <f t="shared" si="2"/>
        <v>--</v>
      </c>
    </row>
    <row r="16" spans="3:23" x14ac:dyDescent="0.25">
      <c r="C16" s="8">
        <v>130</v>
      </c>
      <c r="D16" s="8">
        <v>4.75</v>
      </c>
      <c r="E16" s="8">
        <v>10.16</v>
      </c>
      <c r="F16" s="10">
        <v>17.600000000000001</v>
      </c>
      <c r="G16" s="8"/>
      <c r="J16" s="2">
        <f t="shared" si="3"/>
        <v>0.10299999999999998</v>
      </c>
      <c r="K16" s="2">
        <f t="shared" si="0"/>
        <v>0.13900000000000007</v>
      </c>
      <c r="L16" s="2">
        <f t="shared" si="0"/>
        <v>0.21500000000000022</v>
      </c>
      <c r="M16" s="2" t="str">
        <f t="shared" si="0"/>
        <v>--</v>
      </c>
      <c r="O16" s="2">
        <f t="shared" si="4"/>
        <v>9.7087378640776709</v>
      </c>
      <c r="P16" s="2">
        <f t="shared" si="1"/>
        <v>7.1942446043165438</v>
      </c>
      <c r="Q16" s="2">
        <f t="shared" si="1"/>
        <v>4.6511627906976702</v>
      </c>
      <c r="R16" s="2" t="str">
        <f t="shared" si="1"/>
        <v>--</v>
      </c>
      <c r="T16" s="38">
        <f t="shared" si="5"/>
        <v>0.99999999999999989</v>
      </c>
      <c r="U16" s="38">
        <f t="shared" si="2"/>
        <v>1</v>
      </c>
      <c r="V16" s="38">
        <f t="shared" si="2"/>
        <v>1.0000000000000002</v>
      </c>
      <c r="W16" s="38" t="str">
        <f t="shared" si="2"/>
        <v>--</v>
      </c>
    </row>
    <row r="17" spans="3:23" x14ac:dyDescent="0.25">
      <c r="C17" s="8">
        <v>140</v>
      </c>
      <c r="D17" s="8">
        <v>5.93</v>
      </c>
      <c r="E17" s="8">
        <v>11.65</v>
      </c>
      <c r="F17" s="8"/>
      <c r="G17" s="8"/>
      <c r="J17" s="2">
        <f t="shared" si="3"/>
        <v>0.11799999999999997</v>
      </c>
      <c r="K17" s="2">
        <f t="shared" si="0"/>
        <v>0.14900000000000002</v>
      </c>
      <c r="L17" s="2" t="str">
        <f t="shared" si="0"/>
        <v>--</v>
      </c>
      <c r="M17" s="2" t="str">
        <f t="shared" si="0"/>
        <v>--</v>
      </c>
      <c r="O17" s="2">
        <f t="shared" si="4"/>
        <v>8.474576271186443</v>
      </c>
      <c r="P17" s="2">
        <f t="shared" si="1"/>
        <v>6.7114093959731536</v>
      </c>
      <c r="Q17" s="2" t="str">
        <f t="shared" si="1"/>
        <v>--</v>
      </c>
      <c r="R17" s="2" t="str">
        <f t="shared" si="1"/>
        <v>--</v>
      </c>
      <c r="T17" s="38">
        <f t="shared" si="5"/>
        <v>1</v>
      </c>
      <c r="U17" s="38">
        <f t="shared" si="2"/>
        <v>1</v>
      </c>
      <c r="V17" s="38" t="str">
        <f t="shared" si="2"/>
        <v>--</v>
      </c>
      <c r="W17" s="38" t="str">
        <f t="shared" si="2"/>
        <v>--</v>
      </c>
    </row>
    <row r="18" spans="3:23" x14ac:dyDescent="0.25">
      <c r="C18" s="8">
        <v>150</v>
      </c>
      <c r="D18" s="8">
        <v>7.15</v>
      </c>
      <c r="E18" s="8"/>
      <c r="F18" s="8"/>
      <c r="G18" s="8"/>
      <c r="J18" s="2">
        <f t="shared" si="3"/>
        <v>0.12200000000000007</v>
      </c>
      <c r="K18" s="2" t="str">
        <f t="shared" si="0"/>
        <v>--</v>
      </c>
      <c r="L18" s="2" t="str">
        <f t="shared" si="0"/>
        <v>--</v>
      </c>
      <c r="M18" s="2" t="str">
        <f t="shared" si="0"/>
        <v>--</v>
      </c>
      <c r="O18" s="2">
        <f t="shared" si="4"/>
        <v>8.1967213114754056</v>
      </c>
      <c r="P18" s="2" t="str">
        <f t="shared" si="1"/>
        <v>--</v>
      </c>
      <c r="Q18" s="2" t="str">
        <f t="shared" si="1"/>
        <v>--</v>
      </c>
      <c r="R18" s="2" t="str">
        <f t="shared" si="1"/>
        <v>--</v>
      </c>
      <c r="T18" s="38">
        <f t="shared" si="5"/>
        <v>1</v>
      </c>
      <c r="U18" s="38" t="str">
        <f t="shared" si="2"/>
        <v>--</v>
      </c>
      <c r="V18" s="38" t="str">
        <f t="shared" si="2"/>
        <v>--</v>
      </c>
      <c r="W18" s="38" t="str">
        <f t="shared" si="2"/>
        <v>--</v>
      </c>
    </row>
    <row r="19" spans="3:23" x14ac:dyDescent="0.25">
      <c r="C19" s="8">
        <v>160</v>
      </c>
      <c r="D19" s="8">
        <v>8.44</v>
      </c>
      <c r="E19" s="8"/>
      <c r="F19" s="8"/>
      <c r="G19" s="8"/>
      <c r="J19" s="2">
        <f t="shared" si="3"/>
        <v>0.12899999999999992</v>
      </c>
      <c r="K19" s="2" t="str">
        <f t="shared" ref="K19:M21" si="6">IF(AND(ISNUMBER(E18),ISNUMBER(E19)), (E19 - E18) / ($C19 -$C18), "--")</f>
        <v>--</v>
      </c>
      <c r="L19" s="2" t="str">
        <f t="shared" si="6"/>
        <v>--</v>
      </c>
      <c r="M19" s="2" t="str">
        <f t="shared" si="6"/>
        <v>--</v>
      </c>
      <c r="O19" s="2">
        <f t="shared" si="4"/>
        <v>7.7519379844961289</v>
      </c>
      <c r="P19" s="2" t="str">
        <f t="shared" ref="P19:R21" si="7">IF(AND(ISNUMBER(E18),ISNUMBER(E19)), ($C19 -$C18) / (E19 - E18), "--")</f>
        <v>--</v>
      </c>
      <c r="Q19" s="2" t="str">
        <f t="shared" si="7"/>
        <v>--</v>
      </c>
      <c r="R19" s="2" t="str">
        <f t="shared" si="7"/>
        <v>--</v>
      </c>
      <c r="T19" s="38">
        <f t="shared" si="5"/>
        <v>1</v>
      </c>
      <c r="U19" s="38" t="str">
        <f t="shared" ref="U19:W21" si="8">IF(AND(K19&lt;&gt;"--", P19&lt;&gt;"--"), K19*P19, "--")</f>
        <v>--</v>
      </c>
      <c r="V19" s="38" t="str">
        <f t="shared" si="8"/>
        <v>--</v>
      </c>
      <c r="W19" s="38" t="str">
        <f t="shared" si="8"/>
        <v>--</v>
      </c>
    </row>
    <row r="20" spans="3:23" x14ac:dyDescent="0.25">
      <c r="C20" s="8">
        <v>170</v>
      </c>
      <c r="D20" s="8">
        <v>9.84</v>
      </c>
      <c r="E20" s="8"/>
      <c r="F20" s="8"/>
      <c r="G20" s="8"/>
      <c r="J20" s="2">
        <f t="shared" si="3"/>
        <v>0.14000000000000004</v>
      </c>
      <c r="K20" s="2" t="str">
        <f t="shared" si="6"/>
        <v>--</v>
      </c>
      <c r="L20" s="2" t="str">
        <f t="shared" si="6"/>
        <v>--</v>
      </c>
      <c r="M20" s="2" t="str">
        <f t="shared" si="6"/>
        <v>--</v>
      </c>
      <c r="O20" s="2">
        <f t="shared" si="4"/>
        <v>7.1428571428571415</v>
      </c>
      <c r="P20" s="2" t="str">
        <f t="shared" si="7"/>
        <v>--</v>
      </c>
      <c r="Q20" s="2" t="str">
        <f t="shared" si="7"/>
        <v>--</v>
      </c>
      <c r="R20" s="2" t="str">
        <f t="shared" si="7"/>
        <v>--</v>
      </c>
      <c r="T20" s="38">
        <f t="shared" si="5"/>
        <v>1</v>
      </c>
      <c r="U20" s="38" t="str">
        <f t="shared" si="8"/>
        <v>--</v>
      </c>
      <c r="V20" s="38" t="str">
        <f t="shared" si="8"/>
        <v>--</v>
      </c>
      <c r="W20" s="38" t="str">
        <f t="shared" si="8"/>
        <v>--</v>
      </c>
    </row>
    <row r="21" spans="3:23" x14ac:dyDescent="0.25">
      <c r="C21" s="8">
        <v>180</v>
      </c>
      <c r="D21" s="8">
        <v>11.27</v>
      </c>
      <c r="E21" s="8"/>
      <c r="F21" s="8"/>
      <c r="G21" s="8"/>
      <c r="J21" s="2">
        <f t="shared" si="3"/>
        <v>0.14299999999999996</v>
      </c>
      <c r="K21" s="2" t="str">
        <f t="shared" si="6"/>
        <v>--</v>
      </c>
      <c r="L21" s="2" t="str">
        <f t="shared" si="6"/>
        <v>--</v>
      </c>
      <c r="M21" s="2" t="str">
        <f t="shared" si="6"/>
        <v>--</v>
      </c>
      <c r="O21" s="2">
        <f t="shared" si="4"/>
        <v>6.9930069930069942</v>
      </c>
      <c r="P21" s="2" t="str">
        <f t="shared" si="7"/>
        <v>--</v>
      </c>
      <c r="Q21" s="2" t="str">
        <f t="shared" si="7"/>
        <v>--</v>
      </c>
      <c r="R21" s="2" t="str">
        <f t="shared" si="7"/>
        <v>--</v>
      </c>
      <c r="T21" s="38">
        <f t="shared" si="5"/>
        <v>0.99999999999999989</v>
      </c>
      <c r="U21" s="38" t="str">
        <f t="shared" si="8"/>
        <v>--</v>
      </c>
      <c r="V21" s="38" t="str">
        <f t="shared" si="8"/>
        <v>--</v>
      </c>
      <c r="W21" s="38" t="str">
        <f t="shared" si="8"/>
        <v>--</v>
      </c>
    </row>
  </sheetData>
  <mergeCells count="2">
    <mergeCell ref="J2:M2"/>
    <mergeCell ref="O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1FF8-B134-4BDA-9149-B7512F697385}">
  <dimension ref="B2:AA21"/>
  <sheetViews>
    <sheetView tabSelected="1" topLeftCell="P1" workbookViewId="0">
      <selection activeCell="M2" sqref="M2:AA21"/>
    </sheetView>
  </sheetViews>
  <sheetFormatPr defaultRowHeight="14.25" x14ac:dyDescent="0.25"/>
  <cols>
    <col min="1" max="16384" width="9.140625" style="38"/>
  </cols>
  <sheetData>
    <row r="2" spans="2:27" x14ac:dyDescent="0.25">
      <c r="C2" s="38">
        <v>-4</v>
      </c>
      <c r="D2" s="38">
        <v>-2</v>
      </c>
      <c r="E2" s="38">
        <v>0</v>
      </c>
      <c r="F2" s="38">
        <v>2</v>
      </c>
      <c r="H2" s="38">
        <v>-4</v>
      </c>
      <c r="I2" s="38">
        <v>-2</v>
      </c>
      <c r="J2" s="39">
        <v>0</v>
      </c>
      <c r="K2" s="39">
        <v>2</v>
      </c>
      <c r="N2" s="43" t="s">
        <v>26</v>
      </c>
      <c r="O2" s="43"/>
      <c r="P2" s="43"/>
      <c r="Q2" s="43"/>
      <c r="S2" s="39" t="s">
        <v>27</v>
      </c>
      <c r="T2" s="39"/>
      <c r="U2" s="39"/>
      <c r="V2" s="39"/>
      <c r="W2" s="39"/>
      <c r="X2" s="39" t="s">
        <v>25</v>
      </c>
      <c r="Y2" s="39"/>
      <c r="Z2" s="39"/>
      <c r="AA2" s="39"/>
    </row>
    <row r="3" spans="2:27" x14ac:dyDescent="0.25">
      <c r="B3" s="8"/>
      <c r="C3" s="8"/>
      <c r="D3" s="8"/>
      <c r="E3" s="10"/>
      <c r="F3" s="10"/>
      <c r="S3" s="39"/>
      <c r="T3" s="39"/>
      <c r="U3" s="39"/>
      <c r="V3" s="39"/>
      <c r="W3" s="39"/>
      <c r="X3" s="39"/>
      <c r="Y3" s="39"/>
      <c r="Z3" s="39"/>
      <c r="AA3" s="39"/>
    </row>
    <row r="4" spans="2:27" x14ac:dyDescent="0.25">
      <c r="B4" s="8">
        <v>10</v>
      </c>
      <c r="C4" s="8"/>
      <c r="D4" s="8"/>
      <c r="E4" s="10">
        <v>1.39</v>
      </c>
      <c r="F4" s="10">
        <v>4.67</v>
      </c>
      <c r="H4" s="38" t="str">
        <f>IF(C4&lt;&gt;"",C4/1000,"--")</f>
        <v>--</v>
      </c>
      <c r="I4" s="39" t="str">
        <f t="shared" ref="I4:K19" si="0">IF(D4&lt;&gt;"",D4/1000,"--")</f>
        <v>--</v>
      </c>
      <c r="J4" s="39">
        <f t="shared" si="0"/>
        <v>1.39E-3</v>
      </c>
      <c r="K4" s="39">
        <f t="shared" si="0"/>
        <v>4.6699999999999997E-3</v>
      </c>
      <c r="M4" s="8">
        <v>10</v>
      </c>
      <c r="N4" s="38" t="str">
        <f>IF(AND(C4&lt;&gt;"", D4&lt;&gt;""), ROUND((D4 - C4) / (D$2-C$2), 2), "--")</f>
        <v>--</v>
      </c>
      <c r="O4" s="39" t="str">
        <f t="shared" ref="O4:Q19" si="1">IF(AND(D4&lt;&gt;"", E4&lt;&gt;""), ROUND((E4 - D4) / (E$2-D$2), 2), "--")</f>
        <v>--</v>
      </c>
      <c r="P4" s="39">
        <f t="shared" si="1"/>
        <v>1.64</v>
      </c>
      <c r="Q4" s="39" t="str">
        <f t="shared" si="1"/>
        <v>--</v>
      </c>
      <c r="S4" s="39" t="str">
        <f t="shared" ref="S4:S20" si="2">IF(AND(H4&lt;&gt;"--",$B4&lt;&gt;"--",$B3&lt;&gt;"--",H3&lt;&gt;"--"),ROUND(($B4 - $B3) / (H4-H3) / 1000, 2),"--")</f>
        <v>--</v>
      </c>
      <c r="T4" s="39" t="str">
        <f t="shared" ref="T4:T20" si="3">IF(AND(I4&lt;&gt;"--",$B4&lt;&gt;"--",$B3&lt;&gt;"--",I3&lt;&gt;"--"),ROUND(($B4 - $B3) / (I4-I3) / 1000, 2),"--")</f>
        <v>--</v>
      </c>
      <c r="U4" s="39">
        <f t="shared" ref="U4:U20" si="4">IF(AND(J4&lt;&gt;"--",$B4&lt;&gt;"--",$B3&lt;&gt;"--",J3&lt;&gt;"--"),ROUND(($B4 - $B3) / (J4-J3) / 1000, 2),"--")</f>
        <v>7.19</v>
      </c>
      <c r="V4" s="39">
        <f t="shared" ref="V4:V20" si="5">IF(AND(K4&lt;&gt;"--",$B4&lt;&gt;"--",$B3&lt;&gt;"--",K3&lt;&gt;"--"),ROUND(($B4 - $B3) / (K4-K3) / 1000, 2),"--")</f>
        <v>2.14</v>
      </c>
      <c r="W4" s="39"/>
      <c r="X4" s="39" t="str">
        <f>IF(AND(N4&lt;&gt;"--", S4&lt;&gt;"--"), ROUND(N4*S4/1000, 3), "--")</f>
        <v>--</v>
      </c>
      <c r="Y4" s="39" t="str">
        <f t="shared" ref="Y4:AA19" si="6">IF(AND(O4&lt;&gt;"--", T4&lt;&gt;"--"), ROUND(O4*T4/1000, 3), "--")</f>
        <v>--</v>
      </c>
      <c r="Z4" s="39">
        <f t="shared" si="6"/>
        <v>1.2E-2</v>
      </c>
      <c r="AA4" s="39" t="str">
        <f t="shared" si="6"/>
        <v>--</v>
      </c>
    </row>
    <row r="5" spans="2:27" x14ac:dyDescent="0.25">
      <c r="B5" s="8">
        <v>20</v>
      </c>
      <c r="C5" s="8"/>
      <c r="D5" s="8"/>
      <c r="E5" s="10">
        <v>2.35</v>
      </c>
      <c r="F5" s="10">
        <v>6.01</v>
      </c>
      <c r="H5" s="39" t="str">
        <f t="shared" ref="H5:H21" si="7">IF(C5&lt;&gt;"",C5/1000,"--")</f>
        <v>--</v>
      </c>
      <c r="I5" s="39" t="str">
        <f t="shared" si="0"/>
        <v>--</v>
      </c>
      <c r="J5" s="39">
        <f t="shared" si="0"/>
        <v>2.3500000000000001E-3</v>
      </c>
      <c r="K5" s="39">
        <f t="shared" si="0"/>
        <v>6.0099999999999997E-3</v>
      </c>
      <c r="M5" s="8">
        <v>20</v>
      </c>
      <c r="N5" s="39" t="str">
        <f t="shared" ref="N5:N21" si="8">IF(AND(C5&lt;&gt;"", D5&lt;&gt;""), ROUND((D5 - C5) / (D$2-C$2), 2), "--")</f>
        <v>--</v>
      </c>
      <c r="O5" s="39" t="str">
        <f t="shared" si="1"/>
        <v>--</v>
      </c>
      <c r="P5" s="39">
        <f t="shared" si="1"/>
        <v>1.83</v>
      </c>
      <c r="Q5" s="39" t="str">
        <f t="shared" si="1"/>
        <v>--</v>
      </c>
      <c r="S5" s="39" t="str">
        <f t="shared" si="2"/>
        <v>--</v>
      </c>
      <c r="T5" s="39" t="str">
        <f t="shared" si="3"/>
        <v>--</v>
      </c>
      <c r="U5" s="39">
        <f t="shared" si="4"/>
        <v>10.42</v>
      </c>
      <c r="V5" s="39">
        <f t="shared" si="5"/>
        <v>7.46</v>
      </c>
      <c r="W5" s="39"/>
      <c r="X5" s="39" t="str">
        <f t="shared" ref="X5:X21" si="9">IF(AND(N5&lt;&gt;"--", S5&lt;&gt;"--"), ROUND(N5*S5/1000, 3), "--")</f>
        <v>--</v>
      </c>
      <c r="Y5" s="39" t="str">
        <f t="shared" si="6"/>
        <v>--</v>
      </c>
      <c r="Z5" s="39">
        <f t="shared" si="6"/>
        <v>1.9E-2</v>
      </c>
      <c r="AA5" s="39" t="str">
        <f t="shared" si="6"/>
        <v>--</v>
      </c>
    </row>
    <row r="6" spans="2:27" x14ac:dyDescent="0.25">
      <c r="B6" s="8">
        <v>30</v>
      </c>
      <c r="C6" s="8"/>
      <c r="D6" s="8">
        <v>0.16</v>
      </c>
      <c r="E6" s="10">
        <v>3.39</v>
      </c>
      <c r="F6" s="10">
        <v>7.5</v>
      </c>
      <c r="H6" s="39" t="str">
        <f t="shared" si="7"/>
        <v>--</v>
      </c>
      <c r="I6" s="39">
        <f t="shared" si="0"/>
        <v>1.6000000000000001E-4</v>
      </c>
      <c r="J6" s="39">
        <f t="shared" si="0"/>
        <v>3.3900000000000002E-3</v>
      </c>
      <c r="K6" s="39">
        <f t="shared" si="0"/>
        <v>7.4999999999999997E-3</v>
      </c>
      <c r="M6" s="8">
        <v>30</v>
      </c>
      <c r="N6" s="39" t="str">
        <f t="shared" si="8"/>
        <v>--</v>
      </c>
      <c r="O6" s="39">
        <f t="shared" si="1"/>
        <v>1.62</v>
      </c>
      <c r="P6" s="39">
        <f t="shared" si="1"/>
        <v>2.06</v>
      </c>
      <c r="Q6" s="39" t="str">
        <f t="shared" si="1"/>
        <v>--</v>
      </c>
      <c r="S6" s="39" t="str">
        <f t="shared" si="2"/>
        <v>--</v>
      </c>
      <c r="T6" s="39" t="str">
        <f t="shared" si="3"/>
        <v>--</v>
      </c>
      <c r="U6" s="39">
        <f t="shared" si="4"/>
        <v>9.6199999999999992</v>
      </c>
      <c r="V6" s="39">
        <f t="shared" si="5"/>
        <v>6.71</v>
      </c>
      <c r="W6" s="39"/>
      <c r="X6" s="39" t="str">
        <f t="shared" si="9"/>
        <v>--</v>
      </c>
      <c r="Y6" s="39" t="str">
        <f t="shared" si="6"/>
        <v>--</v>
      </c>
      <c r="Z6" s="39">
        <f t="shared" si="6"/>
        <v>0.02</v>
      </c>
      <c r="AA6" s="39" t="str">
        <f t="shared" si="6"/>
        <v>--</v>
      </c>
    </row>
    <row r="7" spans="2:27" x14ac:dyDescent="0.25">
      <c r="B7" s="8">
        <v>40</v>
      </c>
      <c r="C7" s="8"/>
      <c r="D7" s="8">
        <v>0.54</v>
      </c>
      <c r="E7" s="10">
        <v>4.5</v>
      </c>
      <c r="F7" s="10">
        <v>8.9700000000000006</v>
      </c>
      <c r="H7" s="39" t="str">
        <f t="shared" si="7"/>
        <v>--</v>
      </c>
      <c r="I7" s="39">
        <f t="shared" si="0"/>
        <v>5.4000000000000001E-4</v>
      </c>
      <c r="J7" s="39">
        <f t="shared" si="0"/>
        <v>4.4999999999999997E-3</v>
      </c>
      <c r="K7" s="39">
        <f t="shared" si="0"/>
        <v>8.9700000000000005E-3</v>
      </c>
      <c r="M7" s="8">
        <v>40</v>
      </c>
      <c r="N7" s="39" t="str">
        <f t="shared" si="8"/>
        <v>--</v>
      </c>
      <c r="O7" s="39">
        <f t="shared" si="1"/>
        <v>1.98</v>
      </c>
      <c r="P7" s="39">
        <f t="shared" si="1"/>
        <v>2.2400000000000002</v>
      </c>
      <c r="Q7" s="39" t="str">
        <f t="shared" si="1"/>
        <v>--</v>
      </c>
      <c r="S7" s="39" t="str">
        <f t="shared" si="2"/>
        <v>--</v>
      </c>
      <c r="T7" s="39">
        <f t="shared" si="3"/>
        <v>26.32</v>
      </c>
      <c r="U7" s="39">
        <f t="shared" si="4"/>
        <v>9.01</v>
      </c>
      <c r="V7" s="39">
        <f t="shared" si="5"/>
        <v>6.8</v>
      </c>
      <c r="W7" s="39"/>
      <c r="X7" s="39" t="str">
        <f t="shared" si="9"/>
        <v>--</v>
      </c>
      <c r="Y7" s="39">
        <f t="shared" si="6"/>
        <v>5.1999999999999998E-2</v>
      </c>
      <c r="Z7" s="39">
        <f t="shared" si="6"/>
        <v>0.02</v>
      </c>
      <c r="AA7" s="39" t="str">
        <f t="shared" si="6"/>
        <v>--</v>
      </c>
    </row>
    <row r="8" spans="2:27" x14ac:dyDescent="0.25">
      <c r="B8" s="8">
        <v>50</v>
      </c>
      <c r="C8" s="8"/>
      <c r="D8" s="8">
        <v>1.1299999999999999</v>
      </c>
      <c r="E8" s="10">
        <v>5.77</v>
      </c>
      <c r="F8" s="10">
        <v>10.47</v>
      </c>
      <c r="H8" s="39" t="str">
        <f t="shared" si="7"/>
        <v>--</v>
      </c>
      <c r="I8" s="39">
        <f t="shared" si="0"/>
        <v>1.1299999999999999E-3</v>
      </c>
      <c r="J8" s="39">
        <f t="shared" si="0"/>
        <v>5.77E-3</v>
      </c>
      <c r="K8" s="39">
        <f t="shared" si="0"/>
        <v>1.047E-2</v>
      </c>
      <c r="M8" s="8">
        <v>50</v>
      </c>
      <c r="N8" s="39" t="str">
        <f t="shared" si="8"/>
        <v>--</v>
      </c>
      <c r="O8" s="39">
        <f t="shared" si="1"/>
        <v>2.3199999999999998</v>
      </c>
      <c r="P8" s="39">
        <f t="shared" si="1"/>
        <v>2.35</v>
      </c>
      <c r="Q8" s="39" t="str">
        <f t="shared" si="1"/>
        <v>--</v>
      </c>
      <c r="S8" s="39" t="str">
        <f t="shared" si="2"/>
        <v>--</v>
      </c>
      <c r="T8" s="39">
        <f t="shared" si="3"/>
        <v>16.95</v>
      </c>
      <c r="U8" s="39">
        <f t="shared" si="4"/>
        <v>7.87</v>
      </c>
      <c r="V8" s="39">
        <f t="shared" si="5"/>
        <v>6.67</v>
      </c>
      <c r="W8" s="39"/>
      <c r="X8" s="39" t="str">
        <f t="shared" si="9"/>
        <v>--</v>
      </c>
      <c r="Y8" s="39">
        <f t="shared" si="6"/>
        <v>3.9E-2</v>
      </c>
      <c r="Z8" s="39">
        <f t="shared" si="6"/>
        <v>1.7999999999999999E-2</v>
      </c>
      <c r="AA8" s="39" t="str">
        <f t="shared" si="6"/>
        <v>--</v>
      </c>
    </row>
    <row r="9" spans="2:27" x14ac:dyDescent="0.25">
      <c r="B9" s="8">
        <v>60</v>
      </c>
      <c r="C9" s="8">
        <v>0.12</v>
      </c>
      <c r="D9" s="8">
        <v>1.9</v>
      </c>
      <c r="E9" s="10">
        <v>6.97</v>
      </c>
      <c r="F9" s="10">
        <v>12</v>
      </c>
      <c r="H9" s="39">
        <f t="shared" si="7"/>
        <v>1.1999999999999999E-4</v>
      </c>
      <c r="I9" s="39">
        <f t="shared" si="0"/>
        <v>1.9E-3</v>
      </c>
      <c r="J9" s="39">
        <f t="shared" si="0"/>
        <v>6.9699999999999996E-3</v>
      </c>
      <c r="K9" s="39">
        <f t="shared" si="0"/>
        <v>1.2E-2</v>
      </c>
      <c r="M9" s="8">
        <v>60</v>
      </c>
      <c r="N9" s="39">
        <f t="shared" si="8"/>
        <v>0.89</v>
      </c>
      <c r="O9" s="39">
        <f t="shared" si="1"/>
        <v>2.54</v>
      </c>
      <c r="P9" s="39">
        <f t="shared" si="1"/>
        <v>2.52</v>
      </c>
      <c r="Q9" s="39" t="str">
        <f t="shared" si="1"/>
        <v>--</v>
      </c>
      <c r="S9" s="39" t="str">
        <f t="shared" si="2"/>
        <v>--</v>
      </c>
      <c r="T9" s="39">
        <f t="shared" si="3"/>
        <v>12.99</v>
      </c>
      <c r="U9" s="39">
        <f t="shared" si="4"/>
        <v>8.33</v>
      </c>
      <c r="V9" s="39">
        <f t="shared" si="5"/>
        <v>6.54</v>
      </c>
      <c r="W9" s="39"/>
      <c r="X9" s="39" t="str">
        <f t="shared" si="9"/>
        <v>--</v>
      </c>
      <c r="Y9" s="39">
        <f t="shared" si="6"/>
        <v>3.3000000000000002E-2</v>
      </c>
      <c r="Z9" s="39">
        <f t="shared" si="6"/>
        <v>2.1000000000000001E-2</v>
      </c>
      <c r="AA9" s="39" t="str">
        <f t="shared" si="6"/>
        <v>--</v>
      </c>
    </row>
    <row r="10" spans="2:27" x14ac:dyDescent="0.25">
      <c r="B10" s="8">
        <v>70</v>
      </c>
      <c r="C10" s="8">
        <v>0.34</v>
      </c>
      <c r="D10" s="8">
        <v>2.81</v>
      </c>
      <c r="E10" s="10">
        <v>8.33</v>
      </c>
      <c r="F10" s="10">
        <v>13.59</v>
      </c>
      <c r="H10" s="39">
        <f t="shared" si="7"/>
        <v>3.4000000000000002E-4</v>
      </c>
      <c r="I10" s="39">
        <f t="shared" si="0"/>
        <v>2.81E-3</v>
      </c>
      <c r="J10" s="39">
        <f t="shared" si="0"/>
        <v>8.3300000000000006E-3</v>
      </c>
      <c r="K10" s="39">
        <f t="shared" si="0"/>
        <v>1.359E-2</v>
      </c>
      <c r="M10" s="8">
        <v>70</v>
      </c>
      <c r="N10" s="39">
        <f t="shared" si="8"/>
        <v>1.24</v>
      </c>
      <c r="O10" s="39">
        <f t="shared" si="1"/>
        <v>2.76</v>
      </c>
      <c r="P10" s="39">
        <f t="shared" si="1"/>
        <v>2.63</v>
      </c>
      <c r="Q10" s="39" t="str">
        <f t="shared" si="1"/>
        <v>--</v>
      </c>
      <c r="S10" s="39">
        <f t="shared" si="2"/>
        <v>45.45</v>
      </c>
      <c r="T10" s="39">
        <f t="shared" si="3"/>
        <v>10.99</v>
      </c>
      <c r="U10" s="39">
        <f t="shared" si="4"/>
        <v>7.35</v>
      </c>
      <c r="V10" s="39">
        <f t="shared" si="5"/>
        <v>6.29</v>
      </c>
      <c r="W10" s="39"/>
      <c r="X10" s="39">
        <f t="shared" si="9"/>
        <v>5.6000000000000001E-2</v>
      </c>
      <c r="Y10" s="39">
        <f t="shared" si="6"/>
        <v>0.03</v>
      </c>
      <c r="Z10" s="39">
        <f t="shared" si="6"/>
        <v>1.9E-2</v>
      </c>
      <c r="AA10" s="39" t="str">
        <f t="shared" si="6"/>
        <v>--</v>
      </c>
    </row>
    <row r="11" spans="2:27" x14ac:dyDescent="0.25">
      <c r="B11" s="8">
        <v>80</v>
      </c>
      <c r="C11" s="8">
        <v>0.72</v>
      </c>
      <c r="D11" s="8">
        <v>3.82</v>
      </c>
      <c r="E11" s="10">
        <v>9.7200000000000006</v>
      </c>
      <c r="F11" s="10">
        <v>15.2</v>
      </c>
      <c r="H11" s="39">
        <f t="shared" si="7"/>
        <v>7.1999999999999994E-4</v>
      </c>
      <c r="I11" s="39">
        <f t="shared" si="0"/>
        <v>3.82E-3</v>
      </c>
      <c r="J11" s="39">
        <f t="shared" si="0"/>
        <v>9.7200000000000012E-3</v>
      </c>
      <c r="K11" s="39">
        <f t="shared" si="0"/>
        <v>1.52E-2</v>
      </c>
      <c r="M11" s="8">
        <v>80</v>
      </c>
      <c r="N11" s="39">
        <f t="shared" si="8"/>
        <v>1.55</v>
      </c>
      <c r="O11" s="39">
        <f t="shared" si="1"/>
        <v>2.95</v>
      </c>
      <c r="P11" s="39">
        <f t="shared" si="1"/>
        <v>2.74</v>
      </c>
      <c r="Q11" s="39" t="str">
        <f t="shared" si="1"/>
        <v>--</v>
      </c>
      <c r="S11" s="39">
        <f t="shared" si="2"/>
        <v>26.32</v>
      </c>
      <c r="T11" s="39">
        <f t="shared" si="3"/>
        <v>9.9</v>
      </c>
      <c r="U11" s="39">
        <f t="shared" si="4"/>
        <v>7.19</v>
      </c>
      <c r="V11" s="39">
        <f t="shared" si="5"/>
        <v>6.21</v>
      </c>
      <c r="W11" s="39"/>
      <c r="X11" s="39">
        <f t="shared" si="9"/>
        <v>4.1000000000000002E-2</v>
      </c>
      <c r="Y11" s="39">
        <f t="shared" si="6"/>
        <v>2.9000000000000001E-2</v>
      </c>
      <c r="Z11" s="39">
        <f t="shared" si="6"/>
        <v>0.02</v>
      </c>
      <c r="AA11" s="39" t="str">
        <f t="shared" si="6"/>
        <v>--</v>
      </c>
    </row>
    <row r="12" spans="2:27" x14ac:dyDescent="0.25">
      <c r="B12" s="8">
        <v>90</v>
      </c>
      <c r="C12" s="8">
        <v>1.26</v>
      </c>
      <c r="D12" s="8">
        <v>4.92</v>
      </c>
      <c r="E12" s="10">
        <v>11.19</v>
      </c>
      <c r="F12" s="10">
        <v>16.88</v>
      </c>
      <c r="H12" s="39">
        <f t="shared" si="7"/>
        <v>1.2600000000000001E-3</v>
      </c>
      <c r="I12" s="39">
        <f t="shared" si="0"/>
        <v>4.9199999999999999E-3</v>
      </c>
      <c r="J12" s="39">
        <f t="shared" si="0"/>
        <v>1.119E-2</v>
      </c>
      <c r="K12" s="39">
        <f t="shared" si="0"/>
        <v>1.6879999999999999E-2</v>
      </c>
      <c r="M12" s="8">
        <v>90</v>
      </c>
      <c r="N12" s="39">
        <f t="shared" si="8"/>
        <v>1.83</v>
      </c>
      <c r="O12" s="39">
        <f t="shared" si="1"/>
        <v>3.14</v>
      </c>
      <c r="P12" s="39">
        <f t="shared" si="1"/>
        <v>2.85</v>
      </c>
      <c r="Q12" s="39" t="str">
        <f t="shared" si="1"/>
        <v>--</v>
      </c>
      <c r="S12" s="39">
        <f t="shared" si="2"/>
        <v>18.52</v>
      </c>
      <c r="T12" s="39">
        <f t="shared" si="3"/>
        <v>9.09</v>
      </c>
      <c r="U12" s="39">
        <f t="shared" si="4"/>
        <v>6.8</v>
      </c>
      <c r="V12" s="39">
        <f t="shared" si="5"/>
        <v>5.95</v>
      </c>
      <c r="W12" s="39"/>
      <c r="X12" s="39">
        <f t="shared" si="9"/>
        <v>3.4000000000000002E-2</v>
      </c>
      <c r="Y12" s="39">
        <f t="shared" si="6"/>
        <v>2.9000000000000001E-2</v>
      </c>
      <c r="Z12" s="39">
        <f t="shared" si="6"/>
        <v>1.9E-2</v>
      </c>
      <c r="AA12" s="39" t="str">
        <f t="shared" si="6"/>
        <v>--</v>
      </c>
    </row>
    <row r="13" spans="2:27" x14ac:dyDescent="0.25">
      <c r="B13" s="8">
        <v>100</v>
      </c>
      <c r="C13" s="8">
        <v>1.95</v>
      </c>
      <c r="D13" s="8">
        <v>6.18</v>
      </c>
      <c r="E13" s="10">
        <v>12.73</v>
      </c>
      <c r="F13" s="10">
        <v>18.57</v>
      </c>
      <c r="H13" s="39">
        <f t="shared" si="7"/>
        <v>1.9499999999999999E-3</v>
      </c>
      <c r="I13" s="39">
        <f t="shared" si="0"/>
        <v>6.1799999999999997E-3</v>
      </c>
      <c r="J13" s="39">
        <f t="shared" si="0"/>
        <v>1.273E-2</v>
      </c>
      <c r="K13" s="39">
        <f t="shared" si="0"/>
        <v>1.857E-2</v>
      </c>
      <c r="M13" s="8">
        <v>100</v>
      </c>
      <c r="N13" s="39">
        <f t="shared" si="8"/>
        <v>2.12</v>
      </c>
      <c r="O13" s="39">
        <f t="shared" si="1"/>
        <v>3.28</v>
      </c>
      <c r="P13" s="39">
        <f t="shared" si="1"/>
        <v>2.92</v>
      </c>
      <c r="Q13" s="39" t="str">
        <f t="shared" si="1"/>
        <v>--</v>
      </c>
      <c r="S13" s="39">
        <f t="shared" si="2"/>
        <v>14.49</v>
      </c>
      <c r="T13" s="39">
        <f t="shared" si="3"/>
        <v>7.94</v>
      </c>
      <c r="U13" s="39">
        <f t="shared" si="4"/>
        <v>6.49</v>
      </c>
      <c r="V13" s="39">
        <f t="shared" si="5"/>
        <v>5.92</v>
      </c>
      <c r="W13" s="39"/>
      <c r="X13" s="39">
        <f t="shared" si="9"/>
        <v>3.1E-2</v>
      </c>
      <c r="Y13" s="39">
        <f t="shared" si="6"/>
        <v>2.5999999999999999E-2</v>
      </c>
      <c r="Z13" s="39">
        <f t="shared" si="6"/>
        <v>1.9E-2</v>
      </c>
      <c r="AA13" s="39" t="str">
        <f t="shared" si="6"/>
        <v>--</v>
      </c>
    </row>
    <row r="14" spans="2:27" x14ac:dyDescent="0.25">
      <c r="B14" s="8">
        <v>110</v>
      </c>
      <c r="C14" s="8">
        <v>2.77</v>
      </c>
      <c r="D14" s="8">
        <v>7.46</v>
      </c>
      <c r="E14" s="10">
        <v>14.32</v>
      </c>
      <c r="F14" s="10">
        <v>20.309999999999999</v>
      </c>
      <c r="H14" s="39">
        <f t="shared" si="7"/>
        <v>2.7699999999999999E-3</v>
      </c>
      <c r="I14" s="39">
        <f t="shared" si="0"/>
        <v>7.4599999999999996E-3</v>
      </c>
      <c r="J14" s="39">
        <f t="shared" si="0"/>
        <v>1.4320000000000001E-2</v>
      </c>
      <c r="K14" s="39">
        <f t="shared" si="0"/>
        <v>2.0309999999999998E-2</v>
      </c>
      <c r="M14" s="8">
        <v>110</v>
      </c>
      <c r="N14" s="39">
        <f t="shared" si="8"/>
        <v>2.35</v>
      </c>
      <c r="O14" s="39">
        <f t="shared" si="1"/>
        <v>3.43</v>
      </c>
      <c r="P14" s="39">
        <f t="shared" si="1"/>
        <v>3</v>
      </c>
      <c r="Q14" s="39" t="str">
        <f t="shared" si="1"/>
        <v>--</v>
      </c>
      <c r="S14" s="39">
        <f t="shared" si="2"/>
        <v>12.2</v>
      </c>
      <c r="T14" s="39">
        <f t="shared" si="3"/>
        <v>7.81</v>
      </c>
      <c r="U14" s="39">
        <f t="shared" si="4"/>
        <v>6.29</v>
      </c>
      <c r="V14" s="39">
        <f t="shared" si="5"/>
        <v>5.75</v>
      </c>
      <c r="W14" s="39"/>
      <c r="X14" s="39">
        <f t="shared" si="9"/>
        <v>2.9000000000000001E-2</v>
      </c>
      <c r="Y14" s="39">
        <f t="shared" si="6"/>
        <v>2.7E-2</v>
      </c>
      <c r="Z14" s="39">
        <f t="shared" si="6"/>
        <v>1.9E-2</v>
      </c>
      <c r="AA14" s="39" t="str">
        <f t="shared" si="6"/>
        <v>--</v>
      </c>
    </row>
    <row r="15" spans="2:27" x14ac:dyDescent="0.25">
      <c r="B15" s="8">
        <v>120</v>
      </c>
      <c r="C15" s="8">
        <v>3.72</v>
      </c>
      <c r="D15" s="8">
        <v>8.77</v>
      </c>
      <c r="E15" s="10">
        <v>15.45</v>
      </c>
      <c r="F15" s="8"/>
      <c r="H15" s="39">
        <f t="shared" si="7"/>
        <v>3.7200000000000002E-3</v>
      </c>
      <c r="I15" s="39">
        <f t="shared" si="0"/>
        <v>8.77E-3</v>
      </c>
      <c r="J15" s="39">
        <f t="shared" si="0"/>
        <v>1.5449999999999998E-2</v>
      </c>
      <c r="K15" s="39" t="str">
        <f t="shared" si="0"/>
        <v>--</v>
      </c>
      <c r="M15" s="8">
        <v>120</v>
      </c>
      <c r="N15" s="39">
        <f t="shared" si="8"/>
        <v>2.5299999999999998</v>
      </c>
      <c r="O15" s="39">
        <f t="shared" si="1"/>
        <v>3.34</v>
      </c>
      <c r="P15" s="39" t="str">
        <f t="shared" si="1"/>
        <v>--</v>
      </c>
      <c r="Q15" s="39" t="str">
        <f t="shared" si="1"/>
        <v>--</v>
      </c>
      <c r="S15" s="39">
        <f t="shared" si="2"/>
        <v>10.53</v>
      </c>
      <c r="T15" s="39">
        <f t="shared" si="3"/>
        <v>7.63</v>
      </c>
      <c r="U15" s="39">
        <f t="shared" si="4"/>
        <v>8.85</v>
      </c>
      <c r="V15" s="39" t="str">
        <f t="shared" si="5"/>
        <v>--</v>
      </c>
      <c r="W15" s="39"/>
      <c r="X15" s="39">
        <f t="shared" si="9"/>
        <v>2.7E-2</v>
      </c>
      <c r="Y15" s="39">
        <f t="shared" si="6"/>
        <v>2.5000000000000001E-2</v>
      </c>
      <c r="Z15" s="39" t="str">
        <f t="shared" si="6"/>
        <v>--</v>
      </c>
      <c r="AA15" s="39" t="str">
        <f t="shared" si="6"/>
        <v>--</v>
      </c>
    </row>
    <row r="16" spans="2:27" x14ac:dyDescent="0.25">
      <c r="B16" s="8">
        <v>130</v>
      </c>
      <c r="C16" s="8">
        <v>4.75</v>
      </c>
      <c r="D16" s="8">
        <v>10.16</v>
      </c>
      <c r="E16" s="10">
        <v>17.600000000000001</v>
      </c>
      <c r="F16" s="8"/>
      <c r="H16" s="39">
        <f t="shared" si="7"/>
        <v>4.7499999999999999E-3</v>
      </c>
      <c r="I16" s="39">
        <f t="shared" si="0"/>
        <v>1.0160000000000001E-2</v>
      </c>
      <c r="J16" s="39">
        <f t="shared" si="0"/>
        <v>1.7600000000000001E-2</v>
      </c>
      <c r="K16" s="39" t="str">
        <f t="shared" si="0"/>
        <v>--</v>
      </c>
      <c r="M16" s="8">
        <v>130</v>
      </c>
      <c r="N16" s="39">
        <f t="shared" si="8"/>
        <v>2.71</v>
      </c>
      <c r="O16" s="39">
        <f t="shared" si="1"/>
        <v>3.72</v>
      </c>
      <c r="P16" s="39" t="str">
        <f t="shared" si="1"/>
        <v>--</v>
      </c>
      <c r="Q16" s="39" t="str">
        <f t="shared" si="1"/>
        <v>--</v>
      </c>
      <c r="S16" s="39">
        <f t="shared" si="2"/>
        <v>9.7100000000000009</v>
      </c>
      <c r="T16" s="39">
        <f t="shared" si="3"/>
        <v>7.19</v>
      </c>
      <c r="U16" s="39">
        <f t="shared" si="4"/>
        <v>4.6500000000000004</v>
      </c>
      <c r="V16" s="39" t="str">
        <f t="shared" si="5"/>
        <v>--</v>
      </c>
      <c r="W16" s="39"/>
      <c r="X16" s="39">
        <f t="shared" si="9"/>
        <v>2.5999999999999999E-2</v>
      </c>
      <c r="Y16" s="39">
        <f t="shared" si="6"/>
        <v>2.7E-2</v>
      </c>
      <c r="Z16" s="39" t="str">
        <f t="shared" si="6"/>
        <v>--</v>
      </c>
      <c r="AA16" s="39" t="str">
        <f t="shared" si="6"/>
        <v>--</v>
      </c>
    </row>
    <row r="17" spans="2:27" x14ac:dyDescent="0.25">
      <c r="B17" s="8">
        <v>140</v>
      </c>
      <c r="C17" s="8">
        <v>5.93</v>
      </c>
      <c r="D17" s="8">
        <v>11.65</v>
      </c>
      <c r="E17" s="8"/>
      <c r="F17" s="8"/>
      <c r="H17" s="39">
        <f t="shared" si="7"/>
        <v>5.9299999999999995E-3</v>
      </c>
      <c r="I17" s="39">
        <f t="shared" si="0"/>
        <v>1.1650000000000001E-2</v>
      </c>
      <c r="J17" s="39" t="str">
        <f t="shared" si="0"/>
        <v>--</v>
      </c>
      <c r="K17" s="39" t="str">
        <f t="shared" si="0"/>
        <v>--</v>
      </c>
      <c r="M17" s="8">
        <v>140</v>
      </c>
      <c r="N17" s="39">
        <f t="shared" si="8"/>
        <v>2.86</v>
      </c>
      <c r="O17" s="39" t="str">
        <f t="shared" si="1"/>
        <v>--</v>
      </c>
      <c r="P17" s="39" t="str">
        <f t="shared" si="1"/>
        <v>--</v>
      </c>
      <c r="Q17" s="39" t="str">
        <f t="shared" si="1"/>
        <v>--</v>
      </c>
      <c r="S17" s="39">
        <f t="shared" si="2"/>
        <v>8.4700000000000006</v>
      </c>
      <c r="T17" s="39">
        <f t="shared" si="3"/>
        <v>6.71</v>
      </c>
      <c r="U17" s="39" t="str">
        <f t="shared" si="4"/>
        <v>--</v>
      </c>
      <c r="V17" s="39" t="str">
        <f t="shared" si="5"/>
        <v>--</v>
      </c>
      <c r="W17" s="39"/>
      <c r="X17" s="39">
        <f t="shared" si="9"/>
        <v>2.4E-2</v>
      </c>
      <c r="Y17" s="39" t="str">
        <f t="shared" si="6"/>
        <v>--</v>
      </c>
      <c r="Z17" s="39" t="str">
        <f t="shared" si="6"/>
        <v>--</v>
      </c>
      <c r="AA17" s="39" t="str">
        <f t="shared" si="6"/>
        <v>--</v>
      </c>
    </row>
    <row r="18" spans="2:27" x14ac:dyDescent="0.25">
      <c r="B18" s="8">
        <v>150</v>
      </c>
      <c r="C18" s="8">
        <v>7.15</v>
      </c>
      <c r="D18" s="8"/>
      <c r="E18" s="8"/>
      <c r="F18" s="8"/>
      <c r="H18" s="39">
        <f t="shared" si="7"/>
        <v>7.1500000000000001E-3</v>
      </c>
      <c r="I18" s="39" t="str">
        <f t="shared" si="0"/>
        <v>--</v>
      </c>
      <c r="J18" s="39" t="str">
        <f t="shared" si="0"/>
        <v>--</v>
      </c>
      <c r="K18" s="39" t="str">
        <f t="shared" si="0"/>
        <v>--</v>
      </c>
      <c r="M18" s="8">
        <v>150</v>
      </c>
      <c r="N18" s="39" t="str">
        <f t="shared" si="8"/>
        <v>--</v>
      </c>
      <c r="O18" s="39" t="str">
        <f t="shared" si="1"/>
        <v>--</v>
      </c>
      <c r="P18" s="39" t="str">
        <f t="shared" si="1"/>
        <v>--</v>
      </c>
      <c r="Q18" s="39" t="str">
        <f t="shared" si="1"/>
        <v>--</v>
      </c>
      <c r="S18" s="39">
        <f t="shared" si="2"/>
        <v>8.1999999999999993</v>
      </c>
      <c r="T18" s="39" t="str">
        <f t="shared" si="3"/>
        <v>--</v>
      </c>
      <c r="U18" s="39" t="str">
        <f t="shared" si="4"/>
        <v>--</v>
      </c>
      <c r="V18" s="39" t="str">
        <f t="shared" si="5"/>
        <v>--</v>
      </c>
      <c r="W18" s="39"/>
      <c r="X18" s="39" t="str">
        <f t="shared" si="9"/>
        <v>--</v>
      </c>
      <c r="Y18" s="39" t="str">
        <f t="shared" si="6"/>
        <v>--</v>
      </c>
      <c r="Z18" s="39" t="str">
        <f t="shared" si="6"/>
        <v>--</v>
      </c>
      <c r="AA18" s="39" t="str">
        <f t="shared" si="6"/>
        <v>--</v>
      </c>
    </row>
    <row r="19" spans="2:27" x14ac:dyDescent="0.25">
      <c r="B19" s="8">
        <v>160</v>
      </c>
      <c r="C19" s="8">
        <v>8.44</v>
      </c>
      <c r="D19" s="8"/>
      <c r="E19" s="8"/>
      <c r="F19" s="8"/>
      <c r="H19" s="39">
        <f t="shared" si="7"/>
        <v>8.4399999999999996E-3</v>
      </c>
      <c r="I19" s="39" t="str">
        <f t="shared" si="0"/>
        <v>--</v>
      </c>
      <c r="J19" s="39" t="str">
        <f t="shared" si="0"/>
        <v>--</v>
      </c>
      <c r="K19" s="39" t="str">
        <f t="shared" si="0"/>
        <v>--</v>
      </c>
      <c r="M19" s="8">
        <v>160</v>
      </c>
      <c r="N19" s="39" t="str">
        <f t="shared" si="8"/>
        <v>--</v>
      </c>
      <c r="O19" s="39" t="str">
        <f t="shared" si="1"/>
        <v>--</v>
      </c>
      <c r="P19" s="39" t="str">
        <f t="shared" si="1"/>
        <v>--</v>
      </c>
      <c r="Q19" s="39" t="str">
        <f t="shared" si="1"/>
        <v>--</v>
      </c>
      <c r="S19" s="39">
        <f t="shared" si="2"/>
        <v>7.75</v>
      </c>
      <c r="T19" s="39" t="str">
        <f t="shared" si="3"/>
        <v>--</v>
      </c>
      <c r="U19" s="39" t="str">
        <f t="shared" si="4"/>
        <v>--</v>
      </c>
      <c r="V19" s="39" t="str">
        <f t="shared" si="5"/>
        <v>--</v>
      </c>
      <c r="W19" s="39"/>
      <c r="X19" s="39" t="str">
        <f t="shared" si="9"/>
        <v>--</v>
      </c>
      <c r="Y19" s="39" t="str">
        <f t="shared" si="6"/>
        <v>--</v>
      </c>
      <c r="Z19" s="39" t="str">
        <f t="shared" si="6"/>
        <v>--</v>
      </c>
      <c r="AA19" s="39" t="str">
        <f t="shared" si="6"/>
        <v>--</v>
      </c>
    </row>
    <row r="20" spans="2:27" x14ac:dyDescent="0.25">
      <c r="B20" s="8">
        <v>170</v>
      </c>
      <c r="C20" s="8">
        <v>9.84</v>
      </c>
      <c r="D20" s="8"/>
      <c r="E20" s="8"/>
      <c r="F20" s="8"/>
      <c r="H20" s="39">
        <f t="shared" si="7"/>
        <v>9.8399999999999998E-3</v>
      </c>
      <c r="I20" s="39" t="str">
        <f t="shared" ref="I20:I21" si="10">IF(D20&lt;&gt;"",D20/1000,"--")</f>
        <v>--</v>
      </c>
      <c r="J20" s="39" t="str">
        <f t="shared" ref="J20:J21" si="11">IF(E20&lt;&gt;"",E20/1000,"--")</f>
        <v>--</v>
      </c>
      <c r="K20" s="39" t="str">
        <f t="shared" ref="K20:K21" si="12">IF(F20&lt;&gt;"",F20/1000,"--")</f>
        <v>--</v>
      </c>
      <c r="M20" s="8">
        <v>170</v>
      </c>
      <c r="N20" s="39" t="str">
        <f t="shared" si="8"/>
        <v>--</v>
      </c>
      <c r="O20" s="39" t="str">
        <f t="shared" ref="O20:O21" si="13">IF(AND(D20&lt;&gt;"", E20&lt;&gt;""), ROUND((E20 - D20) / (E$2-D$2), 2), "--")</f>
        <v>--</v>
      </c>
      <c r="P20" s="39" t="str">
        <f t="shared" ref="P20:P21" si="14">IF(AND(E20&lt;&gt;"", F20&lt;&gt;""), ROUND((F20 - E20) / (F$2-E$2), 2), "--")</f>
        <v>--</v>
      </c>
      <c r="Q20" s="39" t="str">
        <f t="shared" ref="Q20:Q21" si="15">IF(AND(F20&lt;&gt;"", G20&lt;&gt;""), ROUND((G20 - F20) / (G$2-F$2), 2), "--")</f>
        <v>--</v>
      </c>
      <c r="S20" s="39">
        <f t="shared" si="2"/>
        <v>7.14</v>
      </c>
      <c r="T20" s="39" t="str">
        <f t="shared" si="3"/>
        <v>--</v>
      </c>
      <c r="U20" s="39" t="str">
        <f t="shared" si="4"/>
        <v>--</v>
      </c>
      <c r="V20" s="39" t="str">
        <f t="shared" si="5"/>
        <v>--</v>
      </c>
      <c r="W20" s="39"/>
      <c r="X20" s="39" t="str">
        <f t="shared" si="9"/>
        <v>--</v>
      </c>
      <c r="Y20" s="39" t="str">
        <f t="shared" ref="Y20:Y21" si="16">IF(AND(O20&lt;&gt;"--", T20&lt;&gt;"--"), ROUND(O20*T20/1000, 3), "--")</f>
        <v>--</v>
      </c>
      <c r="Z20" s="39" t="str">
        <f t="shared" ref="Z20:Z21" si="17">IF(AND(P20&lt;&gt;"--", U20&lt;&gt;"--"), ROUND(P20*U20/1000, 3), "--")</f>
        <v>--</v>
      </c>
      <c r="AA20" s="39" t="str">
        <f t="shared" ref="AA20:AA21" si="18">IF(AND(Q20&lt;&gt;"--", V20&lt;&gt;"--"), ROUND(Q20*V20/1000, 3), "--")</f>
        <v>--</v>
      </c>
    </row>
    <row r="21" spans="2:27" x14ac:dyDescent="0.25">
      <c r="B21" s="8">
        <v>180</v>
      </c>
      <c r="C21" s="8">
        <v>11.27</v>
      </c>
      <c r="D21" s="8"/>
      <c r="E21" s="8"/>
      <c r="F21" s="8"/>
      <c r="H21" s="39">
        <f t="shared" si="7"/>
        <v>1.1269999999999999E-2</v>
      </c>
      <c r="I21" s="39" t="str">
        <f t="shared" si="10"/>
        <v>--</v>
      </c>
      <c r="J21" s="39" t="str">
        <f t="shared" si="11"/>
        <v>--</v>
      </c>
      <c r="K21" s="39" t="str">
        <f t="shared" si="12"/>
        <v>--</v>
      </c>
      <c r="M21" s="8">
        <v>180</v>
      </c>
      <c r="N21" s="39" t="str">
        <f t="shared" si="8"/>
        <v>--</v>
      </c>
      <c r="O21" s="39" t="str">
        <f t="shared" si="13"/>
        <v>--</v>
      </c>
      <c r="P21" s="39" t="str">
        <f t="shared" si="14"/>
        <v>--</v>
      </c>
      <c r="Q21" s="39" t="str">
        <f t="shared" si="15"/>
        <v>--</v>
      </c>
      <c r="S21" s="39">
        <f t="shared" ref="S5:S21" si="19">IF(AND(H21&lt;&gt;"--",$B21&lt;&gt;"--",$B20&lt;&gt;"--",H20&lt;&gt;"--"),ROUND(($B21 - $B20) / (H21-H20) / 1000, 2),"--")</f>
        <v>6.99</v>
      </c>
      <c r="T21" s="39" t="str">
        <f t="shared" ref="T21" si="20">IF(AND(I21&lt;&gt;"--",$B21&lt;&gt;"--",$B20&lt;&gt;"--",I20&lt;&gt;"--"),ROUND(($B21 - $B20) / (I21-I20) / 1000, 2),"--")</f>
        <v>--</v>
      </c>
      <c r="U21" s="39" t="str">
        <f t="shared" ref="U21" si="21">IF(AND(J21&lt;&gt;"--",$B21&lt;&gt;"--",$B20&lt;&gt;"--",J20&lt;&gt;"--"),ROUND(($B21 - $B20) / (J21-J20) / 1000, 2),"--")</f>
        <v>--</v>
      </c>
      <c r="V21" s="39" t="str">
        <f t="shared" ref="V21" si="22">IF(AND(K21&lt;&gt;"--",$B21&lt;&gt;"--",$B20&lt;&gt;"--",K20&lt;&gt;"--"),ROUND(($B21 - $B20) / (K21-K20) / 1000, 2),"--")</f>
        <v>--</v>
      </c>
      <c r="W21" s="39"/>
      <c r="X21" s="39" t="str">
        <f t="shared" si="9"/>
        <v>--</v>
      </c>
      <c r="Y21" s="39" t="str">
        <f t="shared" si="16"/>
        <v>--</v>
      </c>
      <c r="Z21" s="39" t="str">
        <f t="shared" si="17"/>
        <v>--</v>
      </c>
      <c r="AA21" s="39" t="str">
        <f t="shared" si="18"/>
        <v>--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7CA5-6721-4819-A6AD-9AC2B2D8FA6F}">
  <dimension ref="A3:H19"/>
  <sheetViews>
    <sheetView zoomScaleNormal="100" workbookViewId="0">
      <selection activeCell="E4" sqref="E4:E19"/>
    </sheetView>
  </sheetViews>
  <sheetFormatPr defaultRowHeight="14.25" x14ac:dyDescent="0.2"/>
  <cols>
    <col min="1" max="2" width="9.140625" style="1"/>
    <col min="3" max="3" width="10.7109375" style="1" bestFit="1" customWidth="1"/>
    <col min="4" max="4" width="9.5703125" style="1" bestFit="1" customWidth="1"/>
    <col min="5" max="6" width="9.140625" style="1"/>
    <col min="7" max="8" width="10.7109375" style="1" bestFit="1" customWidth="1"/>
    <col min="9" max="16384" width="9.140625" style="1"/>
  </cols>
  <sheetData>
    <row r="3" spans="1:8" x14ac:dyDescent="0.2">
      <c r="B3" s="1" t="s">
        <v>16</v>
      </c>
      <c r="C3" s="1" t="s">
        <v>17</v>
      </c>
      <c r="D3" s="1" t="s">
        <v>16</v>
      </c>
      <c r="E3" s="1" t="s">
        <v>15</v>
      </c>
      <c r="F3" s="1" t="s">
        <v>14</v>
      </c>
    </row>
    <row r="4" spans="1:8" x14ac:dyDescent="0.2">
      <c r="A4" s="1">
        <f t="shared" ref="A4:A19" si="0">(2+30/B4)*D4/100</f>
        <v>50</v>
      </c>
      <c r="B4" s="1">
        <v>10</v>
      </c>
      <c r="C4" s="29">
        <f>10^2</f>
        <v>100</v>
      </c>
      <c r="D4" s="31">
        <f t="shared" ref="D4:D19" si="1">B4*C4</f>
        <v>1000</v>
      </c>
      <c r="E4" s="27">
        <v>0.36</v>
      </c>
      <c r="F4" s="28">
        <f>E4/0.2</f>
        <v>1.7999999999999998</v>
      </c>
      <c r="G4" s="1">
        <f>D4/1000</f>
        <v>1</v>
      </c>
      <c r="H4" s="30">
        <f>(2 * B4 + 30) / 100 * C4</f>
        <v>50</v>
      </c>
    </row>
    <row r="5" spans="1:8" x14ac:dyDescent="0.2">
      <c r="A5" s="1">
        <f t="shared" si="0"/>
        <v>700</v>
      </c>
      <c r="B5" s="1">
        <v>20</v>
      </c>
      <c r="C5" s="29">
        <f>10^3</f>
        <v>1000</v>
      </c>
      <c r="D5" s="31">
        <f t="shared" si="1"/>
        <v>20000</v>
      </c>
      <c r="E5" s="27">
        <v>0.35199999999999998</v>
      </c>
      <c r="F5" s="28">
        <f t="shared" ref="F5:F19" si="2">E5/0.2</f>
        <v>1.7599999999999998</v>
      </c>
      <c r="G5" s="1">
        <f t="shared" ref="G5:G19" si="3">D5/1000</f>
        <v>20</v>
      </c>
      <c r="H5" s="30">
        <f t="shared" ref="H5:H19" si="4">(2 * B5 + 30) / 100 * C5</f>
        <v>700</v>
      </c>
    </row>
    <row r="6" spans="1:8" x14ac:dyDescent="0.2">
      <c r="A6" s="1">
        <f t="shared" si="0"/>
        <v>1100</v>
      </c>
      <c r="B6" s="1">
        <v>40</v>
      </c>
      <c r="C6" s="29">
        <f>10^3</f>
        <v>1000</v>
      </c>
      <c r="D6" s="31">
        <f t="shared" si="1"/>
        <v>40000</v>
      </c>
      <c r="E6" s="27">
        <v>0.35599999999999998</v>
      </c>
      <c r="F6" s="28">
        <f t="shared" si="2"/>
        <v>1.7799999999999998</v>
      </c>
      <c r="G6" s="1">
        <f t="shared" si="3"/>
        <v>40</v>
      </c>
      <c r="H6" s="30">
        <f t="shared" si="4"/>
        <v>1100</v>
      </c>
    </row>
    <row r="7" spans="1:8" x14ac:dyDescent="0.2">
      <c r="A7" s="1">
        <f t="shared" si="0"/>
        <v>1300</v>
      </c>
      <c r="B7" s="1">
        <v>50</v>
      </c>
      <c r="C7" s="29">
        <f>10^3</f>
        <v>1000</v>
      </c>
      <c r="D7" s="31">
        <f t="shared" si="1"/>
        <v>50000</v>
      </c>
      <c r="E7" s="27">
        <v>0.34799999999999998</v>
      </c>
      <c r="F7" s="28">
        <f t="shared" si="2"/>
        <v>1.7399999999999998</v>
      </c>
      <c r="G7" s="1">
        <f t="shared" si="3"/>
        <v>50</v>
      </c>
      <c r="H7" s="30">
        <f t="shared" si="4"/>
        <v>1300</v>
      </c>
    </row>
    <row r="8" spans="1:8" x14ac:dyDescent="0.2">
      <c r="A8" s="1">
        <f t="shared" si="0"/>
        <v>1700</v>
      </c>
      <c r="B8" s="1">
        <v>70</v>
      </c>
      <c r="C8" s="29">
        <f>10^3</f>
        <v>1000</v>
      </c>
      <c r="D8" s="31">
        <f t="shared" si="1"/>
        <v>70000</v>
      </c>
      <c r="E8" s="27">
        <v>0.35199999999999998</v>
      </c>
      <c r="F8" s="28">
        <f t="shared" si="2"/>
        <v>1.7599999999999998</v>
      </c>
      <c r="G8" s="1">
        <f t="shared" si="3"/>
        <v>70</v>
      </c>
      <c r="H8" s="30">
        <f t="shared" si="4"/>
        <v>1700</v>
      </c>
    </row>
    <row r="9" spans="1:8" x14ac:dyDescent="0.2">
      <c r="A9" s="1">
        <f t="shared" si="0"/>
        <v>2100</v>
      </c>
      <c r="B9" s="1">
        <v>90</v>
      </c>
      <c r="C9" s="29">
        <f>10^3</f>
        <v>1000</v>
      </c>
      <c r="D9" s="31">
        <f t="shared" si="1"/>
        <v>90000</v>
      </c>
      <c r="E9" s="27">
        <v>0.35199999999999998</v>
      </c>
      <c r="F9" s="28">
        <f t="shared" si="2"/>
        <v>1.7599999999999998</v>
      </c>
      <c r="G9" s="1">
        <f t="shared" si="3"/>
        <v>90</v>
      </c>
      <c r="H9" s="30">
        <f t="shared" si="4"/>
        <v>2100</v>
      </c>
    </row>
    <row r="10" spans="1:8" x14ac:dyDescent="0.2">
      <c r="A10" s="1">
        <f t="shared" si="0"/>
        <v>5400</v>
      </c>
      <c r="B10" s="1">
        <v>12</v>
      </c>
      <c r="C10" s="29">
        <f t="shared" ref="C10:C18" si="5">10^4</f>
        <v>10000</v>
      </c>
      <c r="D10" s="31">
        <f t="shared" si="1"/>
        <v>120000</v>
      </c>
      <c r="E10" s="27">
        <v>0.35199999999999998</v>
      </c>
      <c r="F10" s="28">
        <f t="shared" si="2"/>
        <v>1.7599999999999998</v>
      </c>
      <c r="G10" s="1">
        <f t="shared" si="3"/>
        <v>120</v>
      </c>
      <c r="H10" s="30">
        <f t="shared" si="4"/>
        <v>5400</v>
      </c>
    </row>
    <row r="11" spans="1:8" x14ac:dyDescent="0.2">
      <c r="A11" s="1">
        <f t="shared" si="0"/>
        <v>5799.9999999999991</v>
      </c>
      <c r="B11" s="1">
        <v>14</v>
      </c>
      <c r="C11" s="29">
        <f t="shared" si="5"/>
        <v>10000</v>
      </c>
      <c r="D11" s="31">
        <f t="shared" si="1"/>
        <v>140000</v>
      </c>
      <c r="E11" s="27">
        <v>0.35199999999999998</v>
      </c>
      <c r="F11" s="28">
        <f t="shared" si="2"/>
        <v>1.7599999999999998</v>
      </c>
      <c r="G11" s="1">
        <f t="shared" si="3"/>
        <v>140</v>
      </c>
      <c r="H11" s="30">
        <f t="shared" si="4"/>
        <v>5800</v>
      </c>
    </row>
    <row r="12" spans="1:8" x14ac:dyDescent="0.2">
      <c r="A12" s="1">
        <f t="shared" si="0"/>
        <v>6600</v>
      </c>
      <c r="B12" s="1">
        <v>18</v>
      </c>
      <c r="C12" s="29">
        <f t="shared" si="5"/>
        <v>10000</v>
      </c>
      <c r="D12" s="31">
        <f t="shared" si="1"/>
        <v>180000</v>
      </c>
      <c r="E12" s="27">
        <v>0.34399999999999997</v>
      </c>
      <c r="F12" s="28">
        <f t="shared" si="2"/>
        <v>1.7199999999999998</v>
      </c>
      <c r="G12" s="1">
        <f t="shared" si="3"/>
        <v>180</v>
      </c>
      <c r="H12" s="30">
        <f t="shared" si="4"/>
        <v>6600</v>
      </c>
    </row>
    <row r="13" spans="1:8" x14ac:dyDescent="0.2">
      <c r="A13" s="1">
        <f t="shared" si="0"/>
        <v>7600</v>
      </c>
      <c r="B13" s="1">
        <v>23</v>
      </c>
      <c r="C13" s="29">
        <f t="shared" si="5"/>
        <v>10000</v>
      </c>
      <c r="D13" s="31">
        <f t="shared" si="1"/>
        <v>230000</v>
      </c>
      <c r="E13" s="27">
        <v>0.34399999999999997</v>
      </c>
      <c r="F13" s="28">
        <f t="shared" si="2"/>
        <v>1.7199999999999998</v>
      </c>
      <c r="G13" s="1">
        <f t="shared" si="3"/>
        <v>230</v>
      </c>
      <c r="H13" s="30">
        <f t="shared" si="4"/>
        <v>7600</v>
      </c>
    </row>
    <row r="14" spans="1:8" x14ac:dyDescent="0.2">
      <c r="A14" s="1">
        <f t="shared" si="0"/>
        <v>8400</v>
      </c>
      <c r="B14" s="1">
        <v>27</v>
      </c>
      <c r="C14" s="29">
        <f t="shared" si="5"/>
        <v>10000</v>
      </c>
      <c r="D14" s="31">
        <f t="shared" si="1"/>
        <v>270000</v>
      </c>
      <c r="E14" s="27">
        <v>0.33600000000000002</v>
      </c>
      <c r="F14" s="28">
        <f t="shared" si="2"/>
        <v>1.68</v>
      </c>
      <c r="G14" s="1">
        <f t="shared" si="3"/>
        <v>270</v>
      </c>
      <c r="H14" s="30">
        <f t="shared" si="4"/>
        <v>8400</v>
      </c>
    </row>
    <row r="15" spans="1:8" x14ac:dyDescent="0.2">
      <c r="A15" s="1">
        <f t="shared" si="0"/>
        <v>13000</v>
      </c>
      <c r="B15" s="1">
        <v>50</v>
      </c>
      <c r="C15" s="29">
        <f t="shared" si="5"/>
        <v>10000</v>
      </c>
      <c r="D15" s="31">
        <f t="shared" si="1"/>
        <v>500000</v>
      </c>
      <c r="E15" s="27">
        <v>0.308</v>
      </c>
      <c r="F15" s="28">
        <f t="shared" si="2"/>
        <v>1.5399999999999998</v>
      </c>
      <c r="G15" s="1">
        <f t="shared" si="3"/>
        <v>500</v>
      </c>
      <c r="H15" s="30">
        <f t="shared" si="4"/>
        <v>13000</v>
      </c>
    </row>
    <row r="16" spans="1:8" x14ac:dyDescent="0.2">
      <c r="A16" s="1">
        <f t="shared" si="0"/>
        <v>15000</v>
      </c>
      <c r="B16" s="1">
        <v>60</v>
      </c>
      <c r="C16" s="29">
        <f t="shared" si="5"/>
        <v>10000</v>
      </c>
      <c r="D16" s="31">
        <f t="shared" si="1"/>
        <v>600000</v>
      </c>
      <c r="E16" s="27">
        <v>0.28799999999999998</v>
      </c>
      <c r="F16" s="28">
        <f t="shared" si="2"/>
        <v>1.4399999999999997</v>
      </c>
      <c r="G16" s="1">
        <f t="shared" si="3"/>
        <v>600</v>
      </c>
      <c r="H16" s="30">
        <f t="shared" si="4"/>
        <v>15000</v>
      </c>
    </row>
    <row r="17" spans="1:8" x14ac:dyDescent="0.2">
      <c r="A17" s="1">
        <f t="shared" si="0"/>
        <v>16999.999999999996</v>
      </c>
      <c r="B17" s="1">
        <v>70</v>
      </c>
      <c r="C17" s="29">
        <f t="shared" si="5"/>
        <v>10000</v>
      </c>
      <c r="D17" s="31">
        <f t="shared" si="1"/>
        <v>700000</v>
      </c>
      <c r="E17" s="27">
        <v>0.27200000000000002</v>
      </c>
      <c r="F17" s="28">
        <f t="shared" si="2"/>
        <v>1.36</v>
      </c>
      <c r="G17" s="1">
        <f t="shared" si="3"/>
        <v>700</v>
      </c>
      <c r="H17" s="30">
        <f t="shared" si="4"/>
        <v>17000</v>
      </c>
    </row>
    <row r="18" spans="1:8" x14ac:dyDescent="0.2">
      <c r="A18" s="1">
        <f t="shared" si="0"/>
        <v>19000</v>
      </c>
      <c r="B18" s="1">
        <v>80</v>
      </c>
      <c r="C18" s="29">
        <f t="shared" si="5"/>
        <v>10000</v>
      </c>
      <c r="D18" s="31">
        <f t="shared" si="1"/>
        <v>800000</v>
      </c>
      <c r="E18" s="27">
        <v>0.254</v>
      </c>
      <c r="F18" s="28">
        <f t="shared" si="2"/>
        <v>1.27</v>
      </c>
      <c r="G18" s="1">
        <f t="shared" si="3"/>
        <v>800</v>
      </c>
      <c r="H18" s="30">
        <f t="shared" si="4"/>
        <v>19000</v>
      </c>
    </row>
    <row r="19" spans="1:8" x14ac:dyDescent="0.2">
      <c r="A19" s="1">
        <f t="shared" si="0"/>
        <v>21000</v>
      </c>
      <c r="B19" s="1">
        <v>90</v>
      </c>
      <c r="C19" s="29">
        <f>10^4</f>
        <v>10000</v>
      </c>
      <c r="D19" s="31">
        <f t="shared" si="1"/>
        <v>900000</v>
      </c>
      <c r="E19" s="27">
        <v>0.24</v>
      </c>
      <c r="F19" s="28">
        <f t="shared" si="2"/>
        <v>1.2</v>
      </c>
      <c r="G19" s="1">
        <f t="shared" si="3"/>
        <v>900</v>
      </c>
      <c r="H19" s="30">
        <f t="shared" si="4"/>
        <v>21000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BD95-3BBB-4329-A964-DC42FA0A821F}">
  <dimension ref="B1:C12"/>
  <sheetViews>
    <sheetView zoomScale="115" zoomScaleNormal="115" workbookViewId="0">
      <selection activeCell="Q8" sqref="Q8"/>
    </sheetView>
  </sheetViews>
  <sheetFormatPr defaultRowHeight="14.25" x14ac:dyDescent="0.2"/>
  <cols>
    <col min="1" max="16384" width="9.140625" style="1"/>
  </cols>
  <sheetData>
    <row r="1" spans="2:3" ht="15" thickBot="1" x14ac:dyDescent="0.25"/>
    <row r="2" spans="2:3" x14ac:dyDescent="0.2">
      <c r="B2" s="4" t="s">
        <v>7</v>
      </c>
      <c r="C2" s="19" t="s">
        <v>2</v>
      </c>
    </row>
    <row r="3" spans="2:3" x14ac:dyDescent="0.2">
      <c r="B3" s="13">
        <v>2</v>
      </c>
      <c r="C3" s="20">
        <v>3.78</v>
      </c>
    </row>
    <row r="4" spans="2:3" x14ac:dyDescent="0.2">
      <c r="B4" s="13">
        <v>4</v>
      </c>
      <c r="C4" s="20">
        <v>10.16</v>
      </c>
    </row>
    <row r="5" spans="2:3" x14ac:dyDescent="0.2">
      <c r="B5" s="13">
        <v>6</v>
      </c>
      <c r="C5" s="20">
        <v>16.88</v>
      </c>
    </row>
    <row r="6" spans="2:3" x14ac:dyDescent="0.2">
      <c r="B6" s="13">
        <v>8</v>
      </c>
      <c r="C6" s="20">
        <v>24.84</v>
      </c>
    </row>
    <row r="7" spans="2:3" x14ac:dyDescent="0.2">
      <c r="B7" s="13">
        <v>10</v>
      </c>
      <c r="C7" s="20">
        <v>32.4</v>
      </c>
    </row>
    <row r="8" spans="2:3" x14ac:dyDescent="0.2">
      <c r="B8" s="13">
        <v>12</v>
      </c>
      <c r="C8" s="20">
        <v>40.9</v>
      </c>
    </row>
    <row r="9" spans="2:3" x14ac:dyDescent="0.2">
      <c r="B9" s="13">
        <v>14</v>
      </c>
      <c r="C9" s="20">
        <v>49.94</v>
      </c>
    </row>
    <row r="10" spans="2:3" x14ac:dyDescent="0.2">
      <c r="B10" s="13">
        <v>16</v>
      </c>
      <c r="C10" s="20">
        <v>62.4</v>
      </c>
    </row>
    <row r="11" spans="2:3" x14ac:dyDescent="0.2">
      <c r="B11" s="13">
        <v>18</v>
      </c>
      <c r="C11" s="20">
        <v>73.52</v>
      </c>
    </row>
    <row r="12" spans="2:3" ht="15" thickBot="1" x14ac:dyDescent="0.25">
      <c r="B12" s="14">
        <v>20</v>
      </c>
      <c r="C12" s="21">
        <v>86.31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B24A-B1EF-4497-B49F-FF2EF80BADF0}">
  <dimension ref="B2:C28"/>
  <sheetViews>
    <sheetView topLeftCell="B1" zoomScale="130" zoomScaleNormal="130" workbookViewId="0">
      <selection activeCell="D17" sqref="D17"/>
    </sheetView>
  </sheetViews>
  <sheetFormatPr defaultRowHeight="14.25" x14ac:dyDescent="0.25"/>
  <cols>
    <col min="1" max="2" width="9.140625" style="2"/>
    <col min="3" max="3" width="9.5703125" style="2" bestFit="1" customWidth="1"/>
    <col min="4" max="16384" width="9.140625" style="2"/>
  </cols>
  <sheetData>
    <row r="2" spans="2:3" x14ac:dyDescent="0.25">
      <c r="B2" s="3" t="s">
        <v>8</v>
      </c>
      <c r="C2" s="2">
        <v>2.5</v>
      </c>
    </row>
    <row r="3" spans="2:3" ht="15" thickBot="1" x14ac:dyDescent="0.3"/>
    <row r="4" spans="2:3" x14ac:dyDescent="0.25">
      <c r="B4" s="4" t="s">
        <v>7</v>
      </c>
      <c r="C4" s="19" t="s">
        <v>2</v>
      </c>
    </row>
    <row r="5" spans="2:3" x14ac:dyDescent="0.25">
      <c r="B5" s="13">
        <v>10</v>
      </c>
      <c r="C5" s="20">
        <f>$C$2/B5*1000</f>
        <v>250</v>
      </c>
    </row>
    <row r="6" spans="2:3" x14ac:dyDescent="0.25">
      <c r="B6" s="13">
        <v>20</v>
      </c>
      <c r="C6" s="20">
        <f t="shared" ref="C6:C28" si="0">$C$2/B6*1000</f>
        <v>125</v>
      </c>
    </row>
    <row r="7" spans="2:3" x14ac:dyDescent="0.25">
      <c r="B7" s="13">
        <v>30</v>
      </c>
      <c r="C7" s="20">
        <f t="shared" si="0"/>
        <v>83.333333333333329</v>
      </c>
    </row>
    <row r="8" spans="2:3" x14ac:dyDescent="0.25">
      <c r="B8" s="13">
        <v>40</v>
      </c>
      <c r="C8" s="20">
        <f t="shared" si="0"/>
        <v>62.5</v>
      </c>
    </row>
    <row r="9" spans="2:3" x14ac:dyDescent="0.25">
      <c r="B9" s="13">
        <v>50</v>
      </c>
      <c r="C9" s="20">
        <f t="shared" si="0"/>
        <v>50</v>
      </c>
    </row>
    <row r="10" spans="2:3" x14ac:dyDescent="0.25">
      <c r="B10" s="13">
        <v>60</v>
      </c>
      <c r="C10" s="20">
        <f t="shared" si="0"/>
        <v>41.666666666666664</v>
      </c>
    </row>
    <row r="11" spans="2:3" x14ac:dyDescent="0.25">
      <c r="B11" s="13">
        <v>70</v>
      </c>
      <c r="C11" s="20">
        <f t="shared" si="0"/>
        <v>35.714285714285715</v>
      </c>
    </row>
    <row r="12" spans="2:3" x14ac:dyDescent="0.25">
      <c r="B12" s="13">
        <v>80</v>
      </c>
      <c r="C12" s="20">
        <f t="shared" si="0"/>
        <v>31.25</v>
      </c>
    </row>
    <row r="13" spans="2:3" x14ac:dyDescent="0.25">
      <c r="B13" s="13">
        <v>90</v>
      </c>
      <c r="C13" s="20">
        <f t="shared" si="0"/>
        <v>27.777777777777775</v>
      </c>
    </row>
    <row r="14" spans="2:3" x14ac:dyDescent="0.25">
      <c r="B14" s="13">
        <v>100</v>
      </c>
      <c r="C14" s="20">
        <f t="shared" si="0"/>
        <v>25</v>
      </c>
    </row>
    <row r="15" spans="2:3" x14ac:dyDescent="0.25">
      <c r="B15" s="13">
        <v>110</v>
      </c>
      <c r="C15" s="20">
        <f t="shared" si="0"/>
        <v>22.727272727272727</v>
      </c>
    </row>
    <row r="16" spans="2:3" x14ac:dyDescent="0.25">
      <c r="B16" s="13">
        <v>120</v>
      </c>
      <c r="C16" s="20">
        <f t="shared" si="0"/>
        <v>20.833333333333332</v>
      </c>
    </row>
    <row r="17" spans="2:3" x14ac:dyDescent="0.25">
      <c r="B17" s="13">
        <v>130</v>
      </c>
      <c r="C17" s="20">
        <f t="shared" si="0"/>
        <v>19.230769230769234</v>
      </c>
    </row>
    <row r="18" spans="2:3" x14ac:dyDescent="0.25">
      <c r="B18" s="13">
        <v>140</v>
      </c>
      <c r="C18" s="20">
        <f t="shared" si="0"/>
        <v>17.857142857142858</v>
      </c>
    </row>
    <row r="19" spans="2:3" x14ac:dyDescent="0.25">
      <c r="B19" s="13">
        <v>150</v>
      </c>
      <c r="C19" s="20">
        <f t="shared" si="0"/>
        <v>16.666666666666668</v>
      </c>
    </row>
    <row r="20" spans="2:3" x14ac:dyDescent="0.25">
      <c r="B20" s="13">
        <v>160</v>
      </c>
      <c r="C20" s="20">
        <f t="shared" si="0"/>
        <v>15.625</v>
      </c>
    </row>
    <row r="21" spans="2:3" x14ac:dyDescent="0.25">
      <c r="B21" s="13">
        <v>170</v>
      </c>
      <c r="C21" s="20">
        <f t="shared" si="0"/>
        <v>14.705882352941176</v>
      </c>
    </row>
    <row r="22" spans="2:3" x14ac:dyDescent="0.25">
      <c r="B22" s="13">
        <v>180</v>
      </c>
      <c r="C22" s="20">
        <f t="shared" si="0"/>
        <v>13.888888888888888</v>
      </c>
    </row>
    <row r="23" spans="2:3" x14ac:dyDescent="0.25">
      <c r="B23" s="13">
        <v>190</v>
      </c>
      <c r="C23" s="20">
        <f t="shared" si="0"/>
        <v>13.157894736842104</v>
      </c>
    </row>
    <row r="24" spans="2:3" x14ac:dyDescent="0.25">
      <c r="B24" s="13">
        <v>200</v>
      </c>
      <c r="C24" s="20">
        <f t="shared" si="0"/>
        <v>12.5</v>
      </c>
    </row>
    <row r="25" spans="2:3" x14ac:dyDescent="0.25">
      <c r="B25" s="13">
        <v>210</v>
      </c>
      <c r="C25" s="20">
        <f t="shared" si="0"/>
        <v>11.904761904761903</v>
      </c>
    </row>
    <row r="26" spans="2:3" x14ac:dyDescent="0.25">
      <c r="B26" s="13">
        <v>220</v>
      </c>
      <c r="C26" s="20">
        <f t="shared" si="0"/>
        <v>11.363636363636363</v>
      </c>
    </row>
    <row r="27" spans="2:3" x14ac:dyDescent="0.25">
      <c r="B27" s="13">
        <v>230</v>
      </c>
      <c r="C27" s="20">
        <f t="shared" si="0"/>
        <v>10.869565217391305</v>
      </c>
    </row>
    <row r="28" spans="2:3" ht="15" thickBot="1" x14ac:dyDescent="0.3">
      <c r="B28" s="14">
        <v>240</v>
      </c>
      <c r="C28" s="21">
        <f t="shared" si="0"/>
        <v>10.416666666666666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CBFB-C1B1-48BC-9795-2209B8496CD0}">
  <dimension ref="A1:J24"/>
  <sheetViews>
    <sheetView workbookViewId="0">
      <selection activeCell="V23" sqref="V23"/>
    </sheetView>
  </sheetViews>
  <sheetFormatPr defaultRowHeight="14.25" x14ac:dyDescent="0.2"/>
  <cols>
    <col min="1" max="1" width="9.140625" style="1"/>
    <col min="2" max="2" width="6.140625" style="1" bestFit="1" customWidth="1"/>
    <col min="3" max="3" width="13" style="1" bestFit="1" customWidth="1"/>
    <col min="4" max="4" width="8.42578125" style="1" bestFit="1" customWidth="1"/>
    <col min="5" max="5" width="9.5703125" style="1" bestFit="1" customWidth="1"/>
    <col min="6" max="6" width="8.42578125" style="1" bestFit="1" customWidth="1"/>
    <col min="7" max="7" width="9.5703125" style="1" bestFit="1" customWidth="1"/>
    <col min="8" max="8" width="8.42578125" style="1" bestFit="1" customWidth="1"/>
    <col min="9" max="9" width="9.5703125" style="1" bestFit="1" customWidth="1"/>
    <col min="10" max="16384" width="9.140625" style="1"/>
  </cols>
  <sheetData>
    <row r="1" spans="1:10" ht="15" thickBo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2">
      <c r="A2" s="24"/>
      <c r="D2" s="41" t="s">
        <v>9</v>
      </c>
      <c r="E2" s="42"/>
      <c r="F2" s="41" t="s">
        <v>10</v>
      </c>
      <c r="G2" s="42"/>
      <c r="H2" s="41" t="s">
        <v>11</v>
      </c>
      <c r="I2" s="42"/>
      <c r="J2" s="24"/>
    </row>
    <row r="3" spans="1:10" x14ac:dyDescent="0.2">
      <c r="A3" s="24"/>
      <c r="D3" s="5" t="s">
        <v>12</v>
      </c>
      <c r="E3" s="6" t="s">
        <v>2</v>
      </c>
      <c r="F3" s="5" t="s">
        <v>12</v>
      </c>
      <c r="G3" s="6" t="s">
        <v>2</v>
      </c>
      <c r="H3" s="5" t="s">
        <v>12</v>
      </c>
      <c r="I3" s="6" t="s">
        <v>2</v>
      </c>
      <c r="J3" s="24"/>
    </row>
    <row r="4" spans="1:10" x14ac:dyDescent="0.2">
      <c r="A4" s="24"/>
      <c r="B4" s="1">
        <v>-5.5</v>
      </c>
      <c r="D4" s="32" t="s">
        <v>18</v>
      </c>
      <c r="E4" s="32" t="s">
        <v>18</v>
      </c>
      <c r="F4" s="32" t="s">
        <v>18</v>
      </c>
      <c r="G4" s="32" t="s">
        <v>18</v>
      </c>
      <c r="H4" s="22">
        <v>-5.55</v>
      </c>
      <c r="I4" s="20">
        <v>0.53</v>
      </c>
      <c r="J4" s="24"/>
    </row>
    <row r="5" spans="1:10" x14ac:dyDescent="0.2">
      <c r="A5" s="24"/>
      <c r="B5" s="1">
        <f>B4+0.5</f>
        <v>-5</v>
      </c>
      <c r="D5" s="32" t="s">
        <v>18</v>
      </c>
      <c r="E5" s="32" t="s">
        <v>18</v>
      </c>
      <c r="F5" s="32" t="s">
        <v>18</v>
      </c>
      <c r="G5" s="32" t="s">
        <v>18</v>
      </c>
      <c r="H5" s="22">
        <v>-4.97</v>
      </c>
      <c r="I5" s="20">
        <v>0.87</v>
      </c>
      <c r="J5" s="24"/>
    </row>
    <row r="6" spans="1:10" x14ac:dyDescent="0.2">
      <c r="A6" s="24"/>
      <c r="B6" s="1">
        <f t="shared" ref="B6:B24" si="0">B5+0.5</f>
        <v>-4.5</v>
      </c>
      <c r="D6" s="32" t="s">
        <v>18</v>
      </c>
      <c r="E6" s="32" t="s">
        <v>18</v>
      </c>
      <c r="F6" s="22">
        <v>-4.53</v>
      </c>
      <c r="G6" s="20">
        <v>0.37</v>
      </c>
      <c r="H6" s="22">
        <v>-4.54</v>
      </c>
      <c r="I6" s="20">
        <v>1.28</v>
      </c>
      <c r="J6" s="24"/>
    </row>
    <row r="7" spans="1:10" x14ac:dyDescent="0.2">
      <c r="A7" s="24"/>
      <c r="B7" s="1">
        <f t="shared" si="0"/>
        <v>-4</v>
      </c>
      <c r="D7" s="32" t="s">
        <v>18</v>
      </c>
      <c r="E7" s="32" t="s">
        <v>18</v>
      </c>
      <c r="F7" s="22">
        <v>-4</v>
      </c>
      <c r="G7" s="20">
        <v>0.73</v>
      </c>
      <c r="H7" s="22">
        <v>-4.03</v>
      </c>
      <c r="I7" s="20">
        <v>1.92</v>
      </c>
      <c r="J7" s="24"/>
    </row>
    <row r="8" spans="1:10" x14ac:dyDescent="0.2">
      <c r="A8" s="24"/>
      <c r="B8" s="1">
        <f t="shared" si="0"/>
        <v>-3.5</v>
      </c>
      <c r="D8" s="32" t="s">
        <v>18</v>
      </c>
      <c r="E8" s="32" t="s">
        <v>18</v>
      </c>
      <c r="F8" s="22">
        <v>-3.52</v>
      </c>
      <c r="G8" s="20">
        <v>1.2</v>
      </c>
      <c r="H8" s="22">
        <v>-3.5</v>
      </c>
      <c r="I8" s="20">
        <v>2.78</v>
      </c>
      <c r="J8" s="24"/>
    </row>
    <row r="9" spans="1:10" x14ac:dyDescent="0.2">
      <c r="A9" s="24"/>
      <c r="B9" s="1">
        <f t="shared" si="0"/>
        <v>-3</v>
      </c>
      <c r="D9" s="22">
        <v>-3.16</v>
      </c>
      <c r="E9" s="20">
        <v>0.5</v>
      </c>
      <c r="F9" s="22">
        <v>-3.08</v>
      </c>
      <c r="G9" s="20">
        <v>1.78</v>
      </c>
      <c r="H9" s="22">
        <v>-3.1</v>
      </c>
      <c r="I9" s="20">
        <v>3.55</v>
      </c>
      <c r="J9" s="24"/>
    </row>
    <row r="10" spans="1:10" x14ac:dyDescent="0.2">
      <c r="A10" s="24"/>
      <c r="B10" s="1">
        <f t="shared" si="0"/>
        <v>-2.5</v>
      </c>
      <c r="D10" s="22">
        <v>-2.38</v>
      </c>
      <c r="E10" s="20">
        <v>1.31</v>
      </c>
      <c r="F10" s="22">
        <v>-2.5</v>
      </c>
      <c r="G10" s="20">
        <v>2.78</v>
      </c>
      <c r="H10" s="22">
        <v>-2.5299999999999998</v>
      </c>
      <c r="I10" s="20">
        <v>4.78</v>
      </c>
      <c r="J10" s="24"/>
    </row>
    <row r="11" spans="1:10" x14ac:dyDescent="0.2">
      <c r="A11" s="24"/>
      <c r="B11" s="1">
        <f t="shared" si="0"/>
        <v>-2</v>
      </c>
      <c r="D11" s="22">
        <v>-2.04</v>
      </c>
      <c r="E11" s="20">
        <v>1.85</v>
      </c>
      <c r="F11" s="22">
        <v>-2</v>
      </c>
      <c r="G11" s="20">
        <v>3.8</v>
      </c>
      <c r="H11" s="22">
        <v>-2.04</v>
      </c>
      <c r="I11" s="20">
        <v>6.09</v>
      </c>
      <c r="J11" s="24"/>
    </row>
    <row r="12" spans="1:10" x14ac:dyDescent="0.2">
      <c r="A12" s="24"/>
      <c r="B12" s="1">
        <f t="shared" si="0"/>
        <v>-1.5</v>
      </c>
      <c r="D12" s="22">
        <v>-1.54</v>
      </c>
      <c r="E12" s="20">
        <v>2.78</v>
      </c>
      <c r="F12" s="22">
        <v>-1.54</v>
      </c>
      <c r="G12" s="20">
        <v>4.96</v>
      </c>
      <c r="H12" s="22">
        <v>-1.5</v>
      </c>
      <c r="I12" s="20">
        <v>7.56</v>
      </c>
      <c r="J12" s="24"/>
    </row>
    <row r="13" spans="1:10" x14ac:dyDescent="0.2">
      <c r="A13" s="24"/>
      <c r="B13" s="1">
        <f t="shared" si="0"/>
        <v>-1</v>
      </c>
      <c r="D13" s="22">
        <v>-1.0900000000000001</v>
      </c>
      <c r="E13" s="20">
        <v>3.76</v>
      </c>
      <c r="F13" s="22">
        <v>-0.95</v>
      </c>
      <c r="G13" s="20">
        <v>6.4</v>
      </c>
      <c r="H13" s="22">
        <v>-1.05</v>
      </c>
      <c r="I13" s="20">
        <v>8.9</v>
      </c>
      <c r="J13" s="24"/>
    </row>
    <row r="14" spans="1:10" x14ac:dyDescent="0.2">
      <c r="A14" s="24"/>
      <c r="B14" s="1">
        <f t="shared" si="0"/>
        <v>-0.5</v>
      </c>
      <c r="D14" s="22">
        <v>-0.55000000000000004</v>
      </c>
      <c r="E14" s="20">
        <v>5.16</v>
      </c>
      <c r="F14" s="22">
        <v>-0.56999999999999995</v>
      </c>
      <c r="G14" s="20">
        <v>7.6</v>
      </c>
      <c r="H14" s="22">
        <v>-0.55000000000000004</v>
      </c>
      <c r="I14" s="20">
        <v>10.48</v>
      </c>
      <c r="J14" s="24"/>
    </row>
    <row r="15" spans="1:10" x14ac:dyDescent="0.2">
      <c r="A15" s="24"/>
      <c r="B15" s="1">
        <f t="shared" si="0"/>
        <v>0</v>
      </c>
      <c r="D15" s="22">
        <v>0.08</v>
      </c>
      <c r="E15" s="20">
        <v>6.8</v>
      </c>
      <c r="F15" s="22">
        <v>0.06</v>
      </c>
      <c r="G15" s="20">
        <v>9.5</v>
      </c>
      <c r="H15" s="22">
        <v>0.11</v>
      </c>
      <c r="I15" s="20">
        <v>12.62</v>
      </c>
      <c r="J15" s="24"/>
    </row>
    <row r="16" spans="1:10" x14ac:dyDescent="0.2">
      <c r="A16" s="24"/>
      <c r="B16" s="1">
        <f t="shared" si="0"/>
        <v>0.5</v>
      </c>
      <c r="D16" s="22">
        <v>0.52</v>
      </c>
      <c r="E16" s="20">
        <v>7.9</v>
      </c>
      <c r="F16" s="22">
        <v>0.52</v>
      </c>
      <c r="G16" s="20">
        <v>10.78</v>
      </c>
      <c r="H16" s="22">
        <v>0.51</v>
      </c>
      <c r="I16" s="20">
        <v>13.85</v>
      </c>
      <c r="J16" s="24"/>
    </row>
    <row r="17" spans="1:10" x14ac:dyDescent="0.2">
      <c r="A17" s="24"/>
      <c r="B17" s="1">
        <f t="shared" si="0"/>
        <v>1</v>
      </c>
      <c r="D17" s="22">
        <v>1.02</v>
      </c>
      <c r="E17" s="20">
        <v>9.16</v>
      </c>
      <c r="F17" s="22">
        <v>0.98</v>
      </c>
      <c r="G17" s="20">
        <v>12.12</v>
      </c>
      <c r="H17" s="22">
        <v>1.07</v>
      </c>
      <c r="I17" s="20">
        <v>15.54</v>
      </c>
      <c r="J17" s="24"/>
    </row>
    <row r="18" spans="1:10" x14ac:dyDescent="0.2">
      <c r="A18" s="24"/>
      <c r="B18" s="1">
        <f t="shared" si="0"/>
        <v>1.5</v>
      </c>
      <c r="D18" s="22">
        <v>1.57</v>
      </c>
      <c r="E18" s="20">
        <v>10.6</v>
      </c>
      <c r="F18" s="22">
        <v>1.5</v>
      </c>
      <c r="G18" s="20">
        <v>13.49</v>
      </c>
      <c r="H18" s="22">
        <v>1.48</v>
      </c>
      <c r="I18" s="20">
        <v>16.77</v>
      </c>
      <c r="J18" s="24"/>
    </row>
    <row r="19" spans="1:10" x14ac:dyDescent="0.2">
      <c r="A19" s="24"/>
      <c r="B19" s="1">
        <f t="shared" si="0"/>
        <v>2</v>
      </c>
      <c r="D19" s="22">
        <v>2.04</v>
      </c>
      <c r="E19" s="20">
        <v>11.85</v>
      </c>
      <c r="F19" s="22">
        <v>2.13</v>
      </c>
      <c r="G19" s="20">
        <v>15.34</v>
      </c>
      <c r="H19" s="22">
        <v>2.09</v>
      </c>
      <c r="I19" s="20">
        <v>18.66</v>
      </c>
      <c r="J19" s="24"/>
    </row>
    <row r="20" spans="1:10" x14ac:dyDescent="0.2">
      <c r="A20" s="24"/>
      <c r="B20" s="1">
        <f t="shared" si="0"/>
        <v>2.5</v>
      </c>
      <c r="D20" s="22">
        <v>2.54</v>
      </c>
      <c r="E20" s="20">
        <v>13.21</v>
      </c>
      <c r="F20" s="22">
        <v>2.5299999999999998</v>
      </c>
      <c r="G20" s="20">
        <v>16.52</v>
      </c>
      <c r="H20" s="22">
        <v>2.5499999999999998</v>
      </c>
      <c r="I20" s="20">
        <v>20.13</v>
      </c>
      <c r="J20" s="24"/>
    </row>
    <row r="21" spans="1:10" x14ac:dyDescent="0.2">
      <c r="A21" s="24"/>
      <c r="B21" s="1">
        <f t="shared" si="0"/>
        <v>3</v>
      </c>
      <c r="D21" s="22">
        <v>3.04</v>
      </c>
      <c r="E21" s="20">
        <v>14.62</v>
      </c>
      <c r="F21" s="22">
        <v>2.99</v>
      </c>
      <c r="G21" s="20">
        <v>17.920000000000002</v>
      </c>
      <c r="H21" s="22">
        <v>3.07</v>
      </c>
      <c r="I21" s="20">
        <v>21.83</v>
      </c>
      <c r="J21" s="24"/>
    </row>
    <row r="22" spans="1:10" x14ac:dyDescent="0.2">
      <c r="A22" s="24"/>
      <c r="B22" s="1">
        <f t="shared" si="0"/>
        <v>3.5</v>
      </c>
      <c r="D22" s="22">
        <v>3.57</v>
      </c>
      <c r="E22" s="20">
        <v>16.149999999999999</v>
      </c>
      <c r="F22" s="22">
        <v>3.5</v>
      </c>
      <c r="G22" s="20">
        <v>19.510000000000002</v>
      </c>
      <c r="H22" s="22">
        <v>3.52</v>
      </c>
      <c r="I22" s="20">
        <v>23.26</v>
      </c>
      <c r="J22" s="24"/>
    </row>
    <row r="23" spans="1:10" x14ac:dyDescent="0.2">
      <c r="A23" s="24"/>
      <c r="B23" s="1">
        <f>B22+0.5</f>
        <v>4</v>
      </c>
      <c r="D23" s="22">
        <v>4.08</v>
      </c>
      <c r="E23" s="20">
        <v>17.7</v>
      </c>
      <c r="F23" s="22">
        <v>4.0199999999999996</v>
      </c>
      <c r="G23" s="20">
        <v>21.17</v>
      </c>
      <c r="H23" s="32" t="s">
        <v>18</v>
      </c>
      <c r="I23" s="32" t="s">
        <v>18</v>
      </c>
      <c r="J23" s="24"/>
    </row>
    <row r="24" spans="1:10" ht="15" thickBot="1" x14ac:dyDescent="0.25">
      <c r="B24" s="1">
        <f t="shared" si="0"/>
        <v>4.5</v>
      </c>
      <c r="D24" s="23">
        <v>4.47</v>
      </c>
      <c r="E24" s="21">
        <v>18.899999999999999</v>
      </c>
      <c r="F24" s="23">
        <v>4.51</v>
      </c>
      <c r="G24" s="21">
        <v>22.75</v>
      </c>
      <c r="H24" s="32" t="s">
        <v>18</v>
      </c>
      <c r="I24" s="32" t="s">
        <v>18</v>
      </c>
    </row>
  </sheetData>
  <mergeCells count="3">
    <mergeCell ref="D2:E2"/>
    <mergeCell ref="F2:G2"/>
    <mergeCell ref="H2:I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6010-E2CE-4708-9864-8046E61A4D02}">
  <dimension ref="B1:M17"/>
  <sheetViews>
    <sheetView workbookViewId="0">
      <selection activeCell="H13" sqref="H13"/>
    </sheetView>
  </sheetViews>
  <sheetFormatPr defaultRowHeight="15" x14ac:dyDescent="0.25"/>
  <sheetData>
    <row r="1" spans="2:13" x14ac:dyDescent="0.25">
      <c r="B1" t="s">
        <v>21</v>
      </c>
      <c r="C1" t="s">
        <v>20</v>
      </c>
      <c r="D1" t="s">
        <v>22</v>
      </c>
      <c r="G1" t="s">
        <v>19</v>
      </c>
      <c r="H1" t="s">
        <v>20</v>
      </c>
      <c r="I1" t="s">
        <v>22</v>
      </c>
      <c r="K1" t="s">
        <v>19</v>
      </c>
      <c r="L1" t="s">
        <v>20</v>
      </c>
      <c r="M1" t="s">
        <v>22</v>
      </c>
    </row>
    <row r="2" spans="2:13" x14ac:dyDescent="0.25">
      <c r="B2" s="35">
        <v>0.5</v>
      </c>
      <c r="C2" s="33">
        <v>0.182</v>
      </c>
      <c r="D2" s="34">
        <f>C2/0.2</f>
        <v>0.90999999999999992</v>
      </c>
      <c r="G2">
        <v>1</v>
      </c>
      <c r="H2" s="33">
        <v>0.36</v>
      </c>
      <c r="I2" s="34">
        <f>H2/0.2</f>
        <v>1.7999999999999998</v>
      </c>
      <c r="K2">
        <v>1</v>
      </c>
      <c r="L2" s="33">
        <v>3.24</v>
      </c>
      <c r="M2" s="34">
        <f>L2/0.2</f>
        <v>16.2</v>
      </c>
    </row>
    <row r="3" spans="2:13" x14ac:dyDescent="0.25">
      <c r="B3" s="35">
        <v>1</v>
      </c>
      <c r="C3" s="33">
        <v>0.34799999999999998</v>
      </c>
      <c r="D3" s="34">
        <f t="shared" ref="D3:D12" si="0">C3/0.2</f>
        <v>1.7399999999999998</v>
      </c>
      <c r="G3">
        <v>20</v>
      </c>
      <c r="H3" s="33">
        <v>0.35199999999999998</v>
      </c>
      <c r="I3" s="34">
        <f t="shared" ref="I3:I17" si="1">H3/0.2</f>
        <v>1.7599999999999998</v>
      </c>
      <c r="K3">
        <v>20</v>
      </c>
      <c r="L3" s="33">
        <v>3.14</v>
      </c>
      <c r="M3" s="34">
        <f t="shared" ref="M3:M17" si="2">L3/0.2</f>
        <v>15.7</v>
      </c>
    </row>
    <row r="4" spans="2:13" x14ac:dyDescent="0.25">
      <c r="B4" s="35">
        <v>2</v>
      </c>
      <c r="C4" s="33">
        <v>0.64</v>
      </c>
      <c r="D4" s="34">
        <f t="shared" si="0"/>
        <v>3.1999999999999997</v>
      </c>
      <c r="G4">
        <v>40</v>
      </c>
      <c r="H4" s="33">
        <v>0.35599999999999998</v>
      </c>
      <c r="I4" s="34">
        <f t="shared" si="1"/>
        <v>1.7799999999999998</v>
      </c>
      <c r="K4">
        <v>40</v>
      </c>
      <c r="L4" s="33">
        <v>2.84</v>
      </c>
      <c r="M4" s="34">
        <f t="shared" si="2"/>
        <v>14.2</v>
      </c>
    </row>
    <row r="5" spans="2:13" x14ac:dyDescent="0.25">
      <c r="B5" s="35">
        <v>5</v>
      </c>
      <c r="C5" s="33">
        <v>1.23</v>
      </c>
      <c r="D5" s="34">
        <f t="shared" si="0"/>
        <v>6.1499999999999995</v>
      </c>
      <c r="G5">
        <v>50</v>
      </c>
      <c r="H5" s="33">
        <v>0.34799999999999998</v>
      </c>
      <c r="I5" s="34">
        <f t="shared" si="1"/>
        <v>1.7399999999999998</v>
      </c>
      <c r="K5">
        <v>50</v>
      </c>
      <c r="L5" s="33">
        <v>2.64</v>
      </c>
      <c r="M5" s="34">
        <f t="shared" si="2"/>
        <v>13.2</v>
      </c>
    </row>
    <row r="6" spans="2:13" x14ac:dyDescent="0.25">
      <c r="B6" s="35">
        <v>10</v>
      </c>
      <c r="C6" s="33">
        <v>1.9</v>
      </c>
      <c r="D6" s="34">
        <f t="shared" si="0"/>
        <v>9.4999999999999982</v>
      </c>
      <c r="G6">
        <v>70</v>
      </c>
      <c r="H6" s="33">
        <v>0.35199999999999998</v>
      </c>
      <c r="I6" s="34">
        <f t="shared" si="1"/>
        <v>1.7599999999999998</v>
      </c>
      <c r="K6">
        <v>70</v>
      </c>
      <c r="L6" s="33">
        <v>2.34</v>
      </c>
      <c r="M6" s="34">
        <f t="shared" si="2"/>
        <v>11.7</v>
      </c>
    </row>
    <row r="7" spans="2:13" x14ac:dyDescent="0.25">
      <c r="B7" s="35">
        <v>20</v>
      </c>
      <c r="C7" s="33">
        <v>2.54</v>
      </c>
      <c r="D7" s="34">
        <f t="shared" si="0"/>
        <v>12.7</v>
      </c>
      <c r="G7">
        <v>90</v>
      </c>
      <c r="H7" s="33">
        <v>0.35199999999999998</v>
      </c>
      <c r="I7" s="34">
        <f t="shared" si="1"/>
        <v>1.7599999999999998</v>
      </c>
      <c r="K7">
        <v>90</v>
      </c>
      <c r="L7" s="33">
        <v>2</v>
      </c>
      <c r="M7" s="34">
        <f t="shared" si="2"/>
        <v>10</v>
      </c>
    </row>
    <row r="8" spans="2:13" x14ac:dyDescent="0.25">
      <c r="B8" s="35">
        <v>50</v>
      </c>
      <c r="C8" s="33">
        <v>3.2</v>
      </c>
      <c r="D8" s="34">
        <f t="shared" si="0"/>
        <v>16</v>
      </c>
      <c r="G8">
        <v>120</v>
      </c>
      <c r="H8" s="33">
        <v>0.35199999999999998</v>
      </c>
      <c r="I8" s="34">
        <f t="shared" si="1"/>
        <v>1.7599999999999998</v>
      </c>
      <c r="K8">
        <v>120</v>
      </c>
      <c r="L8" s="33">
        <v>1.68</v>
      </c>
      <c r="M8" s="34">
        <f t="shared" si="2"/>
        <v>8.3999999999999986</v>
      </c>
    </row>
    <row r="9" spans="2:13" x14ac:dyDescent="0.25">
      <c r="B9" s="35">
        <v>100</v>
      </c>
      <c r="C9" s="33">
        <v>3.56</v>
      </c>
      <c r="D9" s="34">
        <f t="shared" si="0"/>
        <v>17.8</v>
      </c>
      <c r="G9">
        <v>140</v>
      </c>
      <c r="H9" s="33">
        <v>0.35199999999999998</v>
      </c>
      <c r="I9" s="34">
        <f t="shared" si="1"/>
        <v>1.7599999999999998</v>
      </c>
      <c r="K9">
        <v>140</v>
      </c>
      <c r="L9" s="33">
        <v>1.48</v>
      </c>
      <c r="M9" s="34">
        <f t="shared" si="2"/>
        <v>7.3999999999999995</v>
      </c>
    </row>
    <row r="10" spans="2:13" x14ac:dyDescent="0.25">
      <c r="B10" s="35">
        <v>200</v>
      </c>
      <c r="C10" s="33">
        <v>3.72</v>
      </c>
      <c r="D10" s="34">
        <f t="shared" si="0"/>
        <v>18.600000000000001</v>
      </c>
      <c r="G10">
        <v>180</v>
      </c>
      <c r="H10" s="33">
        <v>0.34399999999999997</v>
      </c>
      <c r="I10" s="34">
        <f t="shared" si="1"/>
        <v>1.7199999999999998</v>
      </c>
      <c r="K10">
        <v>180</v>
      </c>
      <c r="L10" s="33">
        <v>1.2</v>
      </c>
      <c r="M10" s="34">
        <f t="shared" si="2"/>
        <v>5.9999999999999991</v>
      </c>
    </row>
    <row r="11" spans="2:13" x14ac:dyDescent="0.25">
      <c r="B11" s="35">
        <v>500</v>
      </c>
      <c r="C11" s="33">
        <v>3.6</v>
      </c>
      <c r="D11" s="34">
        <f t="shared" si="0"/>
        <v>18</v>
      </c>
      <c r="G11">
        <v>230</v>
      </c>
      <c r="H11" s="33">
        <v>0.34399999999999997</v>
      </c>
      <c r="I11" s="34">
        <f t="shared" si="1"/>
        <v>1.7199999999999998</v>
      </c>
      <c r="K11">
        <v>230</v>
      </c>
      <c r="L11" s="33">
        <v>0.98399999999999999</v>
      </c>
      <c r="M11" s="34">
        <f t="shared" si="2"/>
        <v>4.92</v>
      </c>
    </row>
    <row r="12" spans="2:13" x14ac:dyDescent="0.25">
      <c r="B12" s="35">
        <v>1000</v>
      </c>
      <c r="C12" s="33">
        <v>3.36</v>
      </c>
      <c r="D12" s="34">
        <f t="shared" si="0"/>
        <v>16.799999999999997</v>
      </c>
      <c r="G12">
        <v>270</v>
      </c>
      <c r="H12" s="33">
        <v>0.33600000000000002</v>
      </c>
      <c r="I12" s="34">
        <f t="shared" si="1"/>
        <v>1.68</v>
      </c>
      <c r="K12">
        <v>270</v>
      </c>
      <c r="L12" s="33">
        <v>0.84799999999999998</v>
      </c>
      <c r="M12" s="34">
        <f t="shared" si="2"/>
        <v>4.2399999999999993</v>
      </c>
    </row>
    <row r="13" spans="2:13" x14ac:dyDescent="0.25">
      <c r="G13">
        <v>500</v>
      </c>
      <c r="H13" s="33">
        <v>0.308</v>
      </c>
      <c r="I13" s="34">
        <f t="shared" si="1"/>
        <v>1.5399999999999998</v>
      </c>
      <c r="K13">
        <v>500</v>
      </c>
      <c r="L13" s="33">
        <v>0.46400000000000002</v>
      </c>
      <c r="M13" s="34">
        <f t="shared" si="2"/>
        <v>2.3199999999999998</v>
      </c>
    </row>
    <row r="14" spans="2:13" x14ac:dyDescent="0.25">
      <c r="G14">
        <v>600</v>
      </c>
      <c r="H14" s="33">
        <v>0.28799999999999998</v>
      </c>
      <c r="I14" s="34">
        <f t="shared" si="1"/>
        <v>1.4399999999999997</v>
      </c>
      <c r="K14">
        <v>600</v>
      </c>
      <c r="L14" s="33">
        <v>0.38800000000000001</v>
      </c>
      <c r="M14" s="34">
        <f t="shared" si="2"/>
        <v>1.94</v>
      </c>
    </row>
    <row r="15" spans="2:13" x14ac:dyDescent="0.25">
      <c r="G15">
        <v>700</v>
      </c>
      <c r="H15" s="33">
        <v>0.27200000000000002</v>
      </c>
      <c r="I15" s="34">
        <f t="shared" si="1"/>
        <v>1.36</v>
      </c>
      <c r="K15">
        <v>700</v>
      </c>
      <c r="L15" s="33">
        <v>0.33600000000000002</v>
      </c>
      <c r="M15" s="34">
        <f t="shared" si="2"/>
        <v>1.68</v>
      </c>
    </row>
    <row r="16" spans="2:13" x14ac:dyDescent="0.25">
      <c r="G16">
        <v>800</v>
      </c>
      <c r="H16" s="33">
        <v>0.254</v>
      </c>
      <c r="I16" s="34">
        <f t="shared" si="1"/>
        <v>1.27</v>
      </c>
      <c r="K16">
        <v>800</v>
      </c>
      <c r="L16" s="33">
        <v>0.28799999999999998</v>
      </c>
      <c r="M16" s="34">
        <f t="shared" si="2"/>
        <v>1.4399999999999997</v>
      </c>
    </row>
    <row r="17" spans="7:13" x14ac:dyDescent="0.25">
      <c r="G17">
        <v>900</v>
      </c>
      <c r="H17" s="33">
        <v>0.24</v>
      </c>
      <c r="I17" s="34">
        <f t="shared" si="1"/>
        <v>1.2</v>
      </c>
      <c r="K17">
        <v>900</v>
      </c>
      <c r="L17" s="33">
        <v>0.26</v>
      </c>
      <c r="M17" s="34">
        <f t="shared" si="2"/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Анодная характеристика триода</vt:lpstr>
      <vt:lpstr>Лист2</vt:lpstr>
      <vt:lpstr>Лист3</vt:lpstr>
      <vt:lpstr>Лист1</vt:lpstr>
      <vt:lpstr>ВАХ диода</vt:lpstr>
      <vt:lpstr>Максимально допустимый ток</vt:lpstr>
      <vt:lpstr>Сеточная характеристика</vt:lpstr>
      <vt:lpstr>Зависимость K от 50кОм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Скороходов</dc:creator>
  <cp:lastModifiedBy>Сергей Скороходов</cp:lastModifiedBy>
  <dcterms:created xsi:type="dcterms:W3CDTF">2025-10-23T20:15:30Z</dcterms:created>
  <dcterms:modified xsi:type="dcterms:W3CDTF">2025-12-03T18:49:29Z</dcterms:modified>
</cp:coreProperties>
</file>