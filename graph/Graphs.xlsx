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Kin0\Documents\LaTeX\Лабораторная работа 6-Исследование электронных ламп диода и триода\IBTC-physics-2k3s-latex-vacuum-tube-diodes-triodes\graph\"/>
    </mc:Choice>
  </mc:AlternateContent>
  <xr:revisionPtr revIDLastSave="0" documentId="13_ncr:1_{6FF7AC95-82BE-4AB2-A63D-00D7079BB574}" xr6:coauthVersionLast="47" xr6:coauthVersionMax="47" xr10:uidLastSave="{00000000-0000-0000-0000-000000000000}"/>
  <bookViews>
    <workbookView xWindow="-105" yWindow="0" windowWidth="14610" windowHeight="15585" activeTab="2" xr2:uid="{E9884957-8132-4B22-A6C3-69341D62379A}"/>
  </bookViews>
  <sheets>
    <sheet name="Анодная характеристика триода" sheetId="1" r:id="rId1"/>
    <sheet name="Лист1" sheetId="5" r:id="rId2"/>
    <sheet name="ВАХ диода" sheetId="2" r:id="rId3"/>
    <sheet name="Максимально допустимый ток" sheetId="3" r:id="rId4"/>
    <sheet name="Сеточная характеристика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5" l="1"/>
  <c r="F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A4" i="5"/>
  <c r="C4" i="5"/>
  <c r="D4" i="5"/>
  <c r="C10" i="5"/>
  <c r="D10" i="5" s="1"/>
  <c r="A10" i="5" s="1"/>
  <c r="C11" i="5"/>
  <c r="D11" i="5" s="1"/>
  <c r="A11" i="5" s="1"/>
  <c r="C12" i="5"/>
  <c r="D12" i="5" s="1"/>
  <c r="A12" i="5" s="1"/>
  <c r="C13" i="5"/>
  <c r="D13" i="5" s="1"/>
  <c r="A13" i="5" s="1"/>
  <c r="C14" i="5"/>
  <c r="D14" i="5" s="1"/>
  <c r="A14" i="5" s="1"/>
  <c r="C15" i="5"/>
  <c r="D15" i="5" s="1"/>
  <c r="A15" i="5" s="1"/>
  <c r="C16" i="5"/>
  <c r="D16" i="5" s="1"/>
  <c r="A16" i="5" s="1"/>
  <c r="C17" i="5"/>
  <c r="D17" i="5" s="1"/>
  <c r="A17" i="5" s="1"/>
  <c r="C18" i="5"/>
  <c r="D18" i="5" s="1"/>
  <c r="A18" i="5" s="1"/>
  <c r="C5" i="5"/>
  <c r="D5" i="5" s="1"/>
  <c r="A5" i="5" s="1"/>
  <c r="C6" i="5"/>
  <c r="D6" i="5" s="1"/>
  <c r="A6" i="5" s="1"/>
  <c r="C7" i="5"/>
  <c r="D7" i="5" s="1"/>
  <c r="A7" i="5" s="1"/>
  <c r="C8" i="5"/>
  <c r="D8" i="5" s="1"/>
  <c r="A8" i="5" s="1"/>
  <c r="C9" i="5"/>
  <c r="D9" i="5" s="1"/>
  <c r="A9" i="5" s="1"/>
  <c r="C19" i="5"/>
  <c r="D19" i="5" s="1"/>
  <c r="A19" i="5" s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5" i="3"/>
</calcChain>
</file>

<file path=xl/sharedStrings.xml><?xml version="1.0" encoding="utf-8"?>
<sst xmlns="http://schemas.openxmlformats.org/spreadsheetml/2006/main" count="31" uniqueCount="18">
  <si>
    <t>U, В</t>
  </si>
  <si>
    <t>U_c = 0 В</t>
  </si>
  <si>
    <t>I_a, мА</t>
  </si>
  <si>
    <t>U_c = 2 В</t>
  </si>
  <si>
    <t>U_c = -4 В</t>
  </si>
  <si>
    <t>U_c = -2 В</t>
  </si>
  <si>
    <t>U_c = 4 В</t>
  </si>
  <si>
    <t>U_a, В</t>
  </si>
  <si>
    <t xml:space="preserve">P = </t>
  </si>
  <si>
    <t>U_a = 60 В</t>
  </si>
  <si>
    <t>U_a = 80 В</t>
  </si>
  <si>
    <t>U_a = 100 В</t>
  </si>
  <si>
    <t>U_c, В</t>
  </si>
  <si>
    <t>\infty</t>
  </si>
  <si>
    <t>K</t>
  </si>
  <si>
    <t>2U_вых</t>
  </si>
  <si>
    <t>nu</t>
  </si>
  <si>
    <t>Множитель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</si>
</sst>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MU Typewriter Text"/>
      <family val="3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4" fontId="1" fillId="0" borderId="0" xfId="0" applyNumberFormat="1" applyFont="1"/>
    <xf numFmtId="2" fontId="1" fillId="0" borderId="0" xfId="0" applyNumberFormat="1" applyFont="1"/>
    <xf numFmtId="11" fontId="1" fillId="0" borderId="0" xfId="0" applyNumberFormat="1" applyFont="1"/>
    <xf numFmtId="0" fontId="1" fillId="0" borderId="0" xfId="0" applyNumberFormat="1" applyFont="1"/>
    <xf numFmtId="1" fontId="1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layout>
        <c:manualLayout>
          <c:xMode val="edge"/>
          <c:yMode val="edge"/>
          <c:x val="0.31702077865266837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'Анодная характеристика триода'!$C$2</c:f>
              <c:strCache>
                <c:ptCount val="1"/>
                <c:pt idx="0">
                  <c:v>U_c = -4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триода'!$C$4:$C$22</c:f>
              <c:numCache>
                <c:formatCode>General</c:formatCode>
                <c:ptCount val="19"/>
                <c:pt idx="6">
                  <c:v>0.12</c:v>
                </c:pt>
                <c:pt idx="7">
                  <c:v>0.34</c:v>
                </c:pt>
                <c:pt idx="8">
                  <c:v>0.72</c:v>
                </c:pt>
                <c:pt idx="9">
                  <c:v>1.26</c:v>
                </c:pt>
                <c:pt idx="10">
                  <c:v>1.95</c:v>
                </c:pt>
                <c:pt idx="11">
                  <c:v>2.77</c:v>
                </c:pt>
                <c:pt idx="12">
                  <c:v>3.72</c:v>
                </c:pt>
                <c:pt idx="13">
                  <c:v>4.75</c:v>
                </c:pt>
                <c:pt idx="14">
                  <c:v>5.93</c:v>
                </c:pt>
                <c:pt idx="15">
                  <c:v>7.15</c:v>
                </c:pt>
                <c:pt idx="16">
                  <c:v>8.44</c:v>
                </c:pt>
                <c:pt idx="17">
                  <c:v>9.84</c:v>
                </c:pt>
                <c:pt idx="18">
                  <c:v>11.27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3E-4D9B-A948-C2E81101BCE3}"/>
            </c:ext>
          </c:extLst>
        </c:ser>
        <c:ser>
          <c:idx val="1"/>
          <c:order val="1"/>
          <c:tx>
            <c:strRef>
              <c:f>'Анодная характеристика триода'!$D$2</c:f>
              <c:strCache>
                <c:ptCount val="1"/>
                <c:pt idx="0">
                  <c:v>U_c = -2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триода'!$D$4:$D$22</c:f>
              <c:numCache>
                <c:formatCode>General</c:formatCode>
                <c:ptCount val="19"/>
                <c:pt idx="3">
                  <c:v>0.16</c:v>
                </c:pt>
                <c:pt idx="4">
                  <c:v>0.54</c:v>
                </c:pt>
                <c:pt idx="5">
                  <c:v>1.1299999999999999</c:v>
                </c:pt>
                <c:pt idx="6">
                  <c:v>1.9</c:v>
                </c:pt>
                <c:pt idx="7">
                  <c:v>2.81</c:v>
                </c:pt>
                <c:pt idx="8">
                  <c:v>3.82</c:v>
                </c:pt>
                <c:pt idx="9">
                  <c:v>4.92</c:v>
                </c:pt>
                <c:pt idx="10">
                  <c:v>6.18</c:v>
                </c:pt>
                <c:pt idx="11">
                  <c:v>7.46</c:v>
                </c:pt>
                <c:pt idx="12">
                  <c:v>8.77</c:v>
                </c:pt>
                <c:pt idx="13">
                  <c:v>10.16</c:v>
                </c:pt>
                <c:pt idx="14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D9B-A948-C2E81101BCE3}"/>
            </c:ext>
          </c:extLst>
        </c:ser>
        <c:ser>
          <c:idx val="2"/>
          <c:order val="2"/>
          <c:tx>
            <c:strRef>
              <c:f>'Анодная характеристика триода'!$E$2</c:f>
              <c:strCache>
                <c:ptCount val="1"/>
                <c:pt idx="0">
                  <c:v>U_c = 0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триода'!$E$4:$E$22</c:f>
              <c:numCache>
                <c:formatCode>0.00</c:formatCode>
                <c:ptCount val="19"/>
                <c:pt idx="0">
                  <c:v>0.14000000000000001</c:v>
                </c:pt>
                <c:pt idx="1">
                  <c:v>1.39</c:v>
                </c:pt>
                <c:pt idx="2">
                  <c:v>2.35</c:v>
                </c:pt>
                <c:pt idx="3">
                  <c:v>3.39</c:v>
                </c:pt>
                <c:pt idx="4">
                  <c:v>4.5</c:v>
                </c:pt>
                <c:pt idx="5">
                  <c:v>5.77</c:v>
                </c:pt>
                <c:pt idx="6">
                  <c:v>6.97</c:v>
                </c:pt>
                <c:pt idx="7">
                  <c:v>8.33</c:v>
                </c:pt>
                <c:pt idx="8">
                  <c:v>9.7200000000000006</c:v>
                </c:pt>
                <c:pt idx="9">
                  <c:v>11.19</c:v>
                </c:pt>
                <c:pt idx="10">
                  <c:v>12.73</c:v>
                </c:pt>
                <c:pt idx="11">
                  <c:v>14.32</c:v>
                </c:pt>
                <c:pt idx="12">
                  <c:v>15.45</c:v>
                </c:pt>
                <c:pt idx="13">
                  <c:v>17.600000000000001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3E-4D9B-A948-C2E81101BCE3}"/>
            </c:ext>
          </c:extLst>
        </c:ser>
        <c:ser>
          <c:idx val="3"/>
          <c:order val="3"/>
          <c:tx>
            <c:strRef>
              <c:f>'Анодная характеристика триода'!$F$2</c:f>
              <c:strCache>
                <c:ptCount val="1"/>
                <c:pt idx="0">
                  <c:v>U_c = 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триода'!$F$4:$F$22</c:f>
              <c:numCache>
                <c:formatCode>0.00</c:formatCode>
                <c:ptCount val="19"/>
                <c:pt idx="0">
                  <c:v>0.13</c:v>
                </c:pt>
                <c:pt idx="1">
                  <c:v>4.67</c:v>
                </c:pt>
                <c:pt idx="2">
                  <c:v>6.01</c:v>
                </c:pt>
                <c:pt idx="3">
                  <c:v>7.5</c:v>
                </c:pt>
                <c:pt idx="4">
                  <c:v>8.9700000000000006</c:v>
                </c:pt>
                <c:pt idx="5">
                  <c:v>10.47</c:v>
                </c:pt>
                <c:pt idx="6">
                  <c:v>12</c:v>
                </c:pt>
                <c:pt idx="7">
                  <c:v>13.59</c:v>
                </c:pt>
                <c:pt idx="8">
                  <c:v>15.2</c:v>
                </c:pt>
                <c:pt idx="9">
                  <c:v>16.88</c:v>
                </c:pt>
                <c:pt idx="10">
                  <c:v>18.57</c:v>
                </c:pt>
                <c:pt idx="11">
                  <c:v>20.309999999999999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3E-4D9B-A948-C2E81101B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815999"/>
        <c:axId val="1999816959"/>
      </c:scatterChart>
      <c:valAx>
        <c:axId val="199981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,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6959"/>
        <c:crosses val="autoZero"/>
        <c:crossBetween val="midCat"/>
      </c:valAx>
      <c:valAx>
        <c:axId val="19998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5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plus>
            <c:min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Лист1!$D$4:$D$19</c:f>
              <c:numCache>
                <c:formatCode>0</c:formatCode>
                <c:ptCount val="16"/>
                <c:pt idx="0">
                  <c:v>1000</c:v>
                </c:pt>
                <c:pt idx="1">
                  <c:v>20000</c:v>
                </c:pt>
                <c:pt idx="2">
                  <c:v>40000</c:v>
                </c:pt>
                <c:pt idx="3">
                  <c:v>50000</c:v>
                </c:pt>
                <c:pt idx="4">
                  <c:v>70000</c:v>
                </c:pt>
                <c:pt idx="5">
                  <c:v>90000</c:v>
                </c:pt>
                <c:pt idx="6">
                  <c:v>120000</c:v>
                </c:pt>
                <c:pt idx="7">
                  <c:v>140000</c:v>
                </c:pt>
                <c:pt idx="8">
                  <c:v>180000</c:v>
                </c:pt>
                <c:pt idx="9">
                  <c:v>230000</c:v>
                </c:pt>
                <c:pt idx="10">
                  <c:v>270000</c:v>
                </c:pt>
                <c:pt idx="11">
                  <c:v>500000</c:v>
                </c:pt>
                <c:pt idx="12">
                  <c:v>600000</c:v>
                </c:pt>
                <c:pt idx="13">
                  <c:v>700000</c:v>
                </c:pt>
                <c:pt idx="14">
                  <c:v>800000</c:v>
                </c:pt>
                <c:pt idx="15">
                  <c:v>900000</c:v>
                </c:pt>
              </c:numCache>
            </c:numRef>
          </c:xVal>
          <c:yVal>
            <c:numRef>
              <c:f>Лист1!$F$4:$F$19</c:f>
              <c:numCache>
                <c:formatCode>0.00</c:formatCode>
                <c:ptCount val="16"/>
                <c:pt idx="0">
                  <c:v>1.7999999999999998</c:v>
                </c:pt>
                <c:pt idx="1">
                  <c:v>1.7599999999999998</c:v>
                </c:pt>
                <c:pt idx="2">
                  <c:v>1.7799999999999998</c:v>
                </c:pt>
                <c:pt idx="3">
                  <c:v>1.7399999999999998</c:v>
                </c:pt>
                <c:pt idx="4">
                  <c:v>1.7599999999999998</c:v>
                </c:pt>
                <c:pt idx="5">
                  <c:v>1.7599999999999998</c:v>
                </c:pt>
                <c:pt idx="6">
                  <c:v>1.7599999999999998</c:v>
                </c:pt>
                <c:pt idx="7">
                  <c:v>1.7599999999999998</c:v>
                </c:pt>
                <c:pt idx="8">
                  <c:v>1.7199999999999998</c:v>
                </c:pt>
                <c:pt idx="9">
                  <c:v>1.7199999999999998</c:v>
                </c:pt>
                <c:pt idx="10">
                  <c:v>1.68</c:v>
                </c:pt>
                <c:pt idx="11">
                  <c:v>1.5399999999999998</c:v>
                </c:pt>
                <c:pt idx="12">
                  <c:v>1.4399999999999997</c:v>
                </c:pt>
                <c:pt idx="13">
                  <c:v>1.36</c:v>
                </c:pt>
                <c:pt idx="14">
                  <c:v>1.27</c:v>
                </c:pt>
                <c:pt idx="1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1-4154-B762-E01A6796D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723600"/>
        <c:axId val="1098100832"/>
      </c:scatterChart>
      <c:valAx>
        <c:axId val="83572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0832"/>
        <c:crosses val="autoZero"/>
        <c:crossBetween val="midCat"/>
      </c:valAx>
      <c:valAx>
        <c:axId val="10981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2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Вольт</a:t>
            </a:r>
            <a:r>
              <a:rPr lang="ru-RU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-амперная характеристика диода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'ВАХ диода'!$C$2</c:f>
              <c:strCache>
                <c:ptCount val="1"/>
                <c:pt idx="0">
                  <c:v>I_a, мА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'ВАХ диода'!$B$3:$B$12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'ВАХ диода'!$C$3:$C$12</c:f>
              <c:numCache>
                <c:formatCode>0.00</c:formatCode>
                <c:ptCount val="10"/>
                <c:pt idx="0">
                  <c:v>3.78</c:v>
                </c:pt>
                <c:pt idx="1">
                  <c:v>10.16</c:v>
                </c:pt>
                <c:pt idx="2">
                  <c:v>16.88</c:v>
                </c:pt>
                <c:pt idx="3">
                  <c:v>24.84</c:v>
                </c:pt>
                <c:pt idx="4">
                  <c:v>32.4</c:v>
                </c:pt>
                <c:pt idx="5">
                  <c:v>40.9</c:v>
                </c:pt>
                <c:pt idx="6">
                  <c:v>49.94</c:v>
                </c:pt>
                <c:pt idx="7">
                  <c:v>62.4</c:v>
                </c:pt>
                <c:pt idx="8">
                  <c:v>73.52</c:v>
                </c:pt>
                <c:pt idx="9">
                  <c:v>86.31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9-4558-AE07-E94CA694E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6783"/>
        <c:axId val="2002529183"/>
      </c:scatterChart>
      <c:valAx>
        <c:axId val="2002526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183"/>
        <c:crosses val="autoZero"/>
        <c:crossBetween val="midCat"/>
      </c:valAx>
      <c:valAx>
        <c:axId val="200252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6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Кривая максимально допустимого тока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'Максимально допустимый ток'!$C$4</c:f>
              <c:strCache>
                <c:ptCount val="1"/>
                <c:pt idx="0">
                  <c:v>I_a, мА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'Максимально допустимый ток'!$B$5:$B$28</c:f>
              <c:numCache>
                <c:formatCode>General</c:formatCode>
                <c:ptCount val="2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</c:numCache>
            </c:numRef>
          </c:xVal>
          <c:yVal>
            <c:numRef>
              <c:f>'Максимально допустимый ток'!$C$5:$C$28</c:f>
              <c:numCache>
                <c:formatCode>0.00</c:formatCode>
                <c:ptCount val="24"/>
                <c:pt idx="0">
                  <c:v>250</c:v>
                </c:pt>
                <c:pt idx="1">
                  <c:v>125</c:v>
                </c:pt>
                <c:pt idx="2">
                  <c:v>83.333333333333329</c:v>
                </c:pt>
                <c:pt idx="3">
                  <c:v>62.5</c:v>
                </c:pt>
                <c:pt idx="4">
                  <c:v>50</c:v>
                </c:pt>
                <c:pt idx="5">
                  <c:v>41.666666666666664</c:v>
                </c:pt>
                <c:pt idx="6">
                  <c:v>35.714285714285715</c:v>
                </c:pt>
                <c:pt idx="7">
                  <c:v>31.25</c:v>
                </c:pt>
                <c:pt idx="8">
                  <c:v>27.777777777777775</c:v>
                </c:pt>
                <c:pt idx="9">
                  <c:v>25</c:v>
                </c:pt>
                <c:pt idx="10">
                  <c:v>22.727272727272727</c:v>
                </c:pt>
                <c:pt idx="11">
                  <c:v>20.833333333333332</c:v>
                </c:pt>
                <c:pt idx="12">
                  <c:v>19.230769230769234</c:v>
                </c:pt>
                <c:pt idx="13">
                  <c:v>17.857142857142858</c:v>
                </c:pt>
                <c:pt idx="14">
                  <c:v>16.666666666666668</c:v>
                </c:pt>
                <c:pt idx="15">
                  <c:v>15.625</c:v>
                </c:pt>
                <c:pt idx="16">
                  <c:v>14.705882352941176</c:v>
                </c:pt>
                <c:pt idx="17">
                  <c:v>13.888888888888888</c:v>
                </c:pt>
                <c:pt idx="18">
                  <c:v>13.157894736842104</c:v>
                </c:pt>
                <c:pt idx="19">
                  <c:v>12.5</c:v>
                </c:pt>
                <c:pt idx="20">
                  <c:v>11.904761904761903</c:v>
                </c:pt>
                <c:pt idx="21">
                  <c:v>11.363636363636363</c:v>
                </c:pt>
                <c:pt idx="22">
                  <c:v>10.869565217391305</c:v>
                </c:pt>
                <c:pt idx="23">
                  <c:v>10.416666666666666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E4-43BF-948F-C4583215E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7743"/>
        <c:axId val="2002529663"/>
      </c:scatterChart>
      <c:valAx>
        <c:axId val="200252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663"/>
        <c:crosses val="autoZero"/>
        <c:crossBetween val="midCat"/>
      </c:valAx>
      <c:valAx>
        <c:axId val="200252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Анодно-сеточная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'Сеточная характеристика'!$D$2:$E$2</c:f>
              <c:strCache>
                <c:ptCount val="1"/>
                <c:pt idx="0">
                  <c:v>U_a = 60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'Сеточная характеристика'!$D$4:$D$24</c:f>
              <c:numCache>
                <c:formatCode>0.00</c:formatCode>
                <c:ptCount val="21"/>
                <c:pt idx="5">
                  <c:v>-3.16</c:v>
                </c:pt>
                <c:pt idx="6">
                  <c:v>-2.38</c:v>
                </c:pt>
                <c:pt idx="7">
                  <c:v>-2.04</c:v>
                </c:pt>
                <c:pt idx="8">
                  <c:v>-1.54</c:v>
                </c:pt>
                <c:pt idx="9">
                  <c:v>-1.0900000000000001</c:v>
                </c:pt>
                <c:pt idx="10">
                  <c:v>-0.55000000000000004</c:v>
                </c:pt>
                <c:pt idx="11">
                  <c:v>0.08</c:v>
                </c:pt>
                <c:pt idx="12">
                  <c:v>0.52</c:v>
                </c:pt>
                <c:pt idx="13">
                  <c:v>1.02</c:v>
                </c:pt>
                <c:pt idx="14">
                  <c:v>1.57</c:v>
                </c:pt>
                <c:pt idx="15">
                  <c:v>2.04</c:v>
                </c:pt>
                <c:pt idx="16">
                  <c:v>2.54</c:v>
                </c:pt>
                <c:pt idx="17">
                  <c:v>3.04</c:v>
                </c:pt>
                <c:pt idx="18">
                  <c:v>3.57</c:v>
                </c:pt>
                <c:pt idx="19">
                  <c:v>4.08</c:v>
                </c:pt>
                <c:pt idx="20">
                  <c:v>4.47</c:v>
                </c:pt>
              </c:numCache>
            </c:numRef>
          </c:xVal>
          <c:yVal>
            <c:numRef>
              <c:f>'Сеточная характеристика'!$E$4:$E$24</c:f>
              <c:numCache>
                <c:formatCode>0.00</c:formatCode>
                <c:ptCount val="21"/>
                <c:pt idx="5">
                  <c:v>0.5</c:v>
                </c:pt>
                <c:pt idx="6">
                  <c:v>1.31</c:v>
                </c:pt>
                <c:pt idx="7">
                  <c:v>1.85</c:v>
                </c:pt>
                <c:pt idx="8">
                  <c:v>2.78</c:v>
                </c:pt>
                <c:pt idx="9">
                  <c:v>3.76</c:v>
                </c:pt>
                <c:pt idx="10">
                  <c:v>5.16</c:v>
                </c:pt>
                <c:pt idx="11">
                  <c:v>6.8</c:v>
                </c:pt>
                <c:pt idx="12">
                  <c:v>7.9</c:v>
                </c:pt>
                <c:pt idx="13">
                  <c:v>9.16</c:v>
                </c:pt>
                <c:pt idx="14">
                  <c:v>10.6</c:v>
                </c:pt>
                <c:pt idx="15">
                  <c:v>11.85</c:v>
                </c:pt>
                <c:pt idx="16">
                  <c:v>13.21</c:v>
                </c:pt>
                <c:pt idx="17">
                  <c:v>14.62</c:v>
                </c:pt>
                <c:pt idx="18">
                  <c:v>16.149999999999999</c:v>
                </c:pt>
                <c:pt idx="19">
                  <c:v>17.7</c:v>
                </c:pt>
                <c:pt idx="20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B-4D7F-9A55-F79AE2535EB6}"/>
            </c:ext>
          </c:extLst>
        </c:ser>
        <c:ser>
          <c:idx val="1"/>
          <c:order val="1"/>
          <c:tx>
            <c:strRef>
              <c:f>'Сеточная характеристика'!$F$2:$G$2</c:f>
              <c:strCache>
                <c:ptCount val="1"/>
                <c:pt idx="0">
                  <c:v>U_a = 80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'Сеточная характеристика'!$F$4:$F$24</c:f>
              <c:numCache>
                <c:formatCode>0.00</c:formatCode>
                <c:ptCount val="21"/>
                <c:pt idx="2">
                  <c:v>-4.53</c:v>
                </c:pt>
                <c:pt idx="3">
                  <c:v>-4</c:v>
                </c:pt>
                <c:pt idx="4">
                  <c:v>-3.52</c:v>
                </c:pt>
                <c:pt idx="5">
                  <c:v>-3.08</c:v>
                </c:pt>
                <c:pt idx="6">
                  <c:v>-2.5</c:v>
                </c:pt>
                <c:pt idx="7">
                  <c:v>-2</c:v>
                </c:pt>
                <c:pt idx="8">
                  <c:v>-1.54</c:v>
                </c:pt>
                <c:pt idx="9">
                  <c:v>-0.95</c:v>
                </c:pt>
                <c:pt idx="10">
                  <c:v>-0.56999999999999995</c:v>
                </c:pt>
                <c:pt idx="11">
                  <c:v>0.06</c:v>
                </c:pt>
                <c:pt idx="12">
                  <c:v>0.52</c:v>
                </c:pt>
                <c:pt idx="13">
                  <c:v>0.98</c:v>
                </c:pt>
                <c:pt idx="14">
                  <c:v>1.5</c:v>
                </c:pt>
                <c:pt idx="15">
                  <c:v>2.13</c:v>
                </c:pt>
                <c:pt idx="16">
                  <c:v>2.5299999999999998</c:v>
                </c:pt>
                <c:pt idx="17">
                  <c:v>2.99</c:v>
                </c:pt>
                <c:pt idx="18">
                  <c:v>3.5</c:v>
                </c:pt>
                <c:pt idx="19">
                  <c:v>4.0199999999999996</c:v>
                </c:pt>
                <c:pt idx="20">
                  <c:v>4.51</c:v>
                </c:pt>
              </c:numCache>
            </c:numRef>
          </c:xVal>
          <c:yVal>
            <c:numRef>
              <c:f>'Сеточная характеристика'!$G$4:$G$24</c:f>
              <c:numCache>
                <c:formatCode>0.00</c:formatCode>
                <c:ptCount val="21"/>
                <c:pt idx="2">
                  <c:v>0.37</c:v>
                </c:pt>
                <c:pt idx="3">
                  <c:v>0.73</c:v>
                </c:pt>
                <c:pt idx="4">
                  <c:v>1.2</c:v>
                </c:pt>
                <c:pt idx="5">
                  <c:v>1.78</c:v>
                </c:pt>
                <c:pt idx="6">
                  <c:v>2.78</c:v>
                </c:pt>
                <c:pt idx="7">
                  <c:v>3.8</c:v>
                </c:pt>
                <c:pt idx="8">
                  <c:v>4.96</c:v>
                </c:pt>
                <c:pt idx="9">
                  <c:v>6.4</c:v>
                </c:pt>
                <c:pt idx="10">
                  <c:v>7.6</c:v>
                </c:pt>
                <c:pt idx="11">
                  <c:v>9.5</c:v>
                </c:pt>
                <c:pt idx="12">
                  <c:v>10.78</c:v>
                </c:pt>
                <c:pt idx="13">
                  <c:v>12.12</c:v>
                </c:pt>
                <c:pt idx="14">
                  <c:v>13.49</c:v>
                </c:pt>
                <c:pt idx="15">
                  <c:v>15.34</c:v>
                </c:pt>
                <c:pt idx="16">
                  <c:v>16.52</c:v>
                </c:pt>
                <c:pt idx="17">
                  <c:v>17.920000000000002</c:v>
                </c:pt>
                <c:pt idx="18">
                  <c:v>19.510000000000002</c:v>
                </c:pt>
                <c:pt idx="19">
                  <c:v>21.17</c:v>
                </c:pt>
                <c:pt idx="2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9B-4D7F-9A55-F79AE2535EB6}"/>
            </c:ext>
          </c:extLst>
        </c:ser>
        <c:ser>
          <c:idx val="2"/>
          <c:order val="2"/>
          <c:tx>
            <c:strRef>
              <c:f>'Сеточная характеристика'!$H$2:$I$2</c:f>
              <c:strCache>
                <c:ptCount val="1"/>
                <c:pt idx="0">
                  <c:v>U_a = 100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'Сеточная характеристика'!$H$4:$H$24</c:f>
              <c:numCache>
                <c:formatCode>0.00</c:formatCode>
                <c:ptCount val="21"/>
                <c:pt idx="0">
                  <c:v>-5.55</c:v>
                </c:pt>
                <c:pt idx="1">
                  <c:v>-4.97</c:v>
                </c:pt>
                <c:pt idx="2">
                  <c:v>-4.54</c:v>
                </c:pt>
                <c:pt idx="3">
                  <c:v>-4.03</c:v>
                </c:pt>
                <c:pt idx="4">
                  <c:v>-3.5</c:v>
                </c:pt>
                <c:pt idx="5">
                  <c:v>-3.1</c:v>
                </c:pt>
                <c:pt idx="6">
                  <c:v>-2.5299999999999998</c:v>
                </c:pt>
                <c:pt idx="7">
                  <c:v>-2.04</c:v>
                </c:pt>
                <c:pt idx="8">
                  <c:v>-1.5</c:v>
                </c:pt>
                <c:pt idx="9">
                  <c:v>-1.05</c:v>
                </c:pt>
                <c:pt idx="10">
                  <c:v>-0.55000000000000004</c:v>
                </c:pt>
                <c:pt idx="11">
                  <c:v>0.11</c:v>
                </c:pt>
                <c:pt idx="12">
                  <c:v>0.51</c:v>
                </c:pt>
                <c:pt idx="13">
                  <c:v>1.07</c:v>
                </c:pt>
                <c:pt idx="14">
                  <c:v>1.48</c:v>
                </c:pt>
                <c:pt idx="15">
                  <c:v>2.09</c:v>
                </c:pt>
                <c:pt idx="16">
                  <c:v>2.5499999999999998</c:v>
                </c:pt>
                <c:pt idx="17">
                  <c:v>3.07</c:v>
                </c:pt>
                <c:pt idx="18">
                  <c:v>3.52</c:v>
                </c:pt>
              </c:numCache>
            </c:numRef>
          </c:xVal>
          <c:yVal>
            <c:numRef>
              <c:f>'Сеточная характеристика'!$I$4:$I$24</c:f>
              <c:numCache>
                <c:formatCode>0.00</c:formatCode>
                <c:ptCount val="21"/>
                <c:pt idx="0">
                  <c:v>0.53</c:v>
                </c:pt>
                <c:pt idx="1">
                  <c:v>0.87</c:v>
                </c:pt>
                <c:pt idx="2">
                  <c:v>1.28</c:v>
                </c:pt>
                <c:pt idx="3">
                  <c:v>1.92</c:v>
                </c:pt>
                <c:pt idx="4">
                  <c:v>2.78</c:v>
                </c:pt>
                <c:pt idx="5">
                  <c:v>3.55</c:v>
                </c:pt>
                <c:pt idx="6">
                  <c:v>4.78</c:v>
                </c:pt>
                <c:pt idx="7">
                  <c:v>6.09</c:v>
                </c:pt>
                <c:pt idx="8">
                  <c:v>7.56</c:v>
                </c:pt>
                <c:pt idx="9">
                  <c:v>8.9</c:v>
                </c:pt>
                <c:pt idx="10">
                  <c:v>10.48</c:v>
                </c:pt>
                <c:pt idx="11">
                  <c:v>12.62</c:v>
                </c:pt>
                <c:pt idx="12">
                  <c:v>13.85</c:v>
                </c:pt>
                <c:pt idx="13">
                  <c:v>15.54</c:v>
                </c:pt>
                <c:pt idx="14">
                  <c:v>16.77</c:v>
                </c:pt>
                <c:pt idx="15">
                  <c:v>18.66</c:v>
                </c:pt>
                <c:pt idx="16">
                  <c:v>20.13</c:v>
                </c:pt>
                <c:pt idx="17">
                  <c:v>21.83</c:v>
                </c:pt>
                <c:pt idx="18">
                  <c:v>23.26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9B-4D7F-9A55-F79AE253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747583"/>
        <c:axId val="2001280463"/>
      </c:scatterChart>
      <c:valAx>
        <c:axId val="199574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80463"/>
        <c:crosses val="autoZero"/>
        <c:crossBetween val="midCat"/>
      </c:valAx>
      <c:valAx>
        <c:axId val="20012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I_a, </a:t>
                </a:r>
                <a:r>
                  <a:rPr lang="ru-RU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747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35497</xdr:colOff>
      <xdr:row>5</xdr:row>
      <xdr:rowOff>58454</xdr:rowOff>
    </xdr:from>
    <xdr:to>
      <xdr:col>26</xdr:col>
      <xdr:colOff>40821</xdr:colOff>
      <xdr:row>49</xdr:row>
      <xdr:rowOff>149679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05AD80D-7F93-CC34-0F63-2A183866E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183694</xdr:colOff>
      <xdr:row>3</xdr:row>
      <xdr:rowOff>125185</xdr:rowOff>
    </xdr:from>
    <xdr:to>
      <xdr:col>30</xdr:col>
      <xdr:colOff>435428</xdr:colOff>
      <xdr:row>49</xdr:row>
      <xdr:rowOff>163285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5CDFF44-01D4-B21D-F674-507E512612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4329</xdr:colOff>
      <xdr:row>0</xdr:row>
      <xdr:rowOff>190322</xdr:rowOff>
    </xdr:from>
    <xdr:to>
      <xdr:col>11</xdr:col>
      <xdr:colOff>6569</xdr:colOff>
      <xdr:row>18</xdr:row>
      <xdr:rowOff>6569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5F8B414-A059-E880-D05B-6E4E275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604470</xdr:colOff>
      <xdr:row>3</xdr:row>
      <xdr:rowOff>0</xdr:rowOff>
    </xdr:from>
    <xdr:to>
      <xdr:col>12</xdr:col>
      <xdr:colOff>7326</xdr:colOff>
      <xdr:row>28</xdr:row>
      <xdr:rowOff>7327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F5999B5-14CC-ABCC-556C-279872F94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9525</xdr:rowOff>
    </xdr:from>
    <xdr:to>
      <xdr:col>20</xdr:col>
      <xdr:colOff>495299</xdr:colOff>
      <xdr:row>23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91B9E3C-7D99-D74F-AE2D-D7AFAF5A9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BA5C-D61B-4222-85B9-8159D3D0F758}">
  <dimension ref="B1:O47"/>
  <sheetViews>
    <sheetView zoomScale="85" zoomScaleNormal="85" workbookViewId="0">
      <selection activeCell="E26" sqref="E26"/>
    </sheetView>
  </sheetViews>
  <sheetFormatPr defaultRowHeight="14.25" x14ac:dyDescent="0.2"/>
  <cols>
    <col min="1" max="2" width="6.140625" style="1" bestFit="1" customWidth="1"/>
    <col min="3" max="4" width="13" style="1" bestFit="1" customWidth="1"/>
    <col min="5" max="6" width="11.85546875" style="1" bestFit="1" customWidth="1"/>
    <col min="7" max="7" width="14.28515625" style="1" bestFit="1" customWidth="1"/>
    <col min="8" max="9" width="9.140625" style="1"/>
    <col min="10" max="11" width="13" style="1" bestFit="1" customWidth="1"/>
    <col min="12" max="14" width="11.85546875" style="1" bestFit="1" customWidth="1"/>
    <col min="15" max="16384" width="9.140625" style="1"/>
  </cols>
  <sheetData>
    <row r="1" spans="2:15" ht="15" thickBot="1" x14ac:dyDescent="0.25"/>
    <row r="2" spans="2:15" x14ac:dyDescent="0.2">
      <c r="B2" s="7"/>
      <c r="C2" s="18" t="s">
        <v>4</v>
      </c>
      <c r="D2" s="18" t="s">
        <v>5</v>
      </c>
      <c r="E2" s="18" t="s">
        <v>1</v>
      </c>
      <c r="F2" s="18" t="s">
        <v>3</v>
      </c>
      <c r="G2" s="19" t="s">
        <v>6</v>
      </c>
    </row>
    <row r="3" spans="2:15" x14ac:dyDescent="0.2">
      <c r="B3" s="15" t="s">
        <v>0</v>
      </c>
      <c r="C3" s="16" t="s">
        <v>2</v>
      </c>
      <c r="D3" s="16" t="s">
        <v>2</v>
      </c>
      <c r="E3" s="16" t="s">
        <v>2</v>
      </c>
      <c r="F3" s="16" t="s">
        <v>2</v>
      </c>
      <c r="G3" s="17" t="s">
        <v>2</v>
      </c>
      <c r="H3" s="2"/>
      <c r="O3" s="2"/>
    </row>
    <row r="4" spans="2:15" x14ac:dyDescent="0.2">
      <c r="B4" s="13">
        <v>0</v>
      </c>
      <c r="C4" s="8"/>
      <c r="D4" s="8"/>
      <c r="E4" s="10">
        <v>0.14000000000000001</v>
      </c>
      <c r="F4" s="11">
        <v>0.13</v>
      </c>
      <c r="G4" s="9"/>
      <c r="H4" s="1" t="s">
        <v>13</v>
      </c>
      <c r="O4" s="2"/>
    </row>
    <row r="5" spans="2:15" x14ac:dyDescent="0.2">
      <c r="B5" s="13">
        <v>10</v>
      </c>
      <c r="C5" s="8"/>
      <c r="D5" s="8"/>
      <c r="E5" s="10">
        <v>1.39</v>
      </c>
      <c r="F5" s="11">
        <v>4.67</v>
      </c>
      <c r="H5" s="20">
        <v>250</v>
      </c>
      <c r="O5" s="2"/>
    </row>
    <row r="6" spans="2:15" x14ac:dyDescent="0.2">
      <c r="B6" s="13">
        <v>20</v>
      </c>
      <c r="C6" s="8"/>
      <c r="D6" s="8"/>
      <c r="E6" s="10">
        <v>2.35</v>
      </c>
      <c r="F6" s="11">
        <v>6.01</v>
      </c>
      <c r="H6" s="20">
        <v>125</v>
      </c>
      <c r="O6" s="2"/>
    </row>
    <row r="7" spans="2:15" x14ac:dyDescent="0.2">
      <c r="B7" s="13">
        <v>30</v>
      </c>
      <c r="C7" s="8"/>
      <c r="D7" s="8">
        <v>0.16</v>
      </c>
      <c r="E7" s="10">
        <v>3.39</v>
      </c>
      <c r="F7" s="11">
        <v>7.5</v>
      </c>
      <c r="H7" s="20">
        <v>83.333333333333329</v>
      </c>
      <c r="O7" s="2"/>
    </row>
    <row r="8" spans="2:15" x14ac:dyDescent="0.2">
      <c r="B8" s="13">
        <v>40</v>
      </c>
      <c r="C8" s="8"/>
      <c r="D8" s="8">
        <v>0.54</v>
      </c>
      <c r="E8" s="10">
        <v>4.5</v>
      </c>
      <c r="F8" s="11">
        <v>8.9700000000000006</v>
      </c>
      <c r="H8" s="20">
        <v>62.5</v>
      </c>
      <c r="O8" s="2"/>
    </row>
    <row r="9" spans="2:15" x14ac:dyDescent="0.2">
      <c r="B9" s="13">
        <v>50</v>
      </c>
      <c r="C9" s="8"/>
      <c r="D9" s="8">
        <v>1.1299999999999999</v>
      </c>
      <c r="E9" s="10">
        <v>5.77</v>
      </c>
      <c r="F9" s="11">
        <v>10.47</v>
      </c>
      <c r="H9" s="20">
        <v>50</v>
      </c>
      <c r="O9" s="2"/>
    </row>
    <row r="10" spans="2:15" x14ac:dyDescent="0.2">
      <c r="B10" s="13">
        <v>60</v>
      </c>
      <c r="C10" s="8">
        <v>0.12</v>
      </c>
      <c r="D10" s="8">
        <v>1.9</v>
      </c>
      <c r="E10" s="10">
        <v>6.97</v>
      </c>
      <c r="F10" s="11">
        <v>12</v>
      </c>
      <c r="H10" s="20">
        <v>41.666666666666664</v>
      </c>
      <c r="O10" s="2"/>
    </row>
    <row r="11" spans="2:15" x14ac:dyDescent="0.2">
      <c r="B11" s="13">
        <v>70</v>
      </c>
      <c r="C11" s="8">
        <v>0.34</v>
      </c>
      <c r="D11" s="8">
        <v>2.81</v>
      </c>
      <c r="E11" s="10">
        <v>8.33</v>
      </c>
      <c r="F11" s="11">
        <v>13.59</v>
      </c>
      <c r="H11" s="20">
        <v>35.714285714285715</v>
      </c>
      <c r="O11" s="2"/>
    </row>
    <row r="12" spans="2:15" x14ac:dyDescent="0.2">
      <c r="B12" s="13">
        <v>80</v>
      </c>
      <c r="C12" s="8">
        <v>0.72</v>
      </c>
      <c r="D12" s="8">
        <v>3.82</v>
      </c>
      <c r="E12" s="10">
        <v>9.7200000000000006</v>
      </c>
      <c r="F12" s="11">
        <v>15.2</v>
      </c>
      <c r="H12" s="20">
        <v>31.25</v>
      </c>
      <c r="O12" s="2"/>
    </row>
    <row r="13" spans="2:15" x14ac:dyDescent="0.2">
      <c r="B13" s="13">
        <v>90</v>
      </c>
      <c r="C13" s="8">
        <v>1.26</v>
      </c>
      <c r="D13" s="8">
        <v>4.92</v>
      </c>
      <c r="E13" s="10">
        <v>11.19</v>
      </c>
      <c r="F13" s="11">
        <v>16.88</v>
      </c>
      <c r="H13" s="20">
        <v>27.777777777777775</v>
      </c>
      <c r="O13" s="2"/>
    </row>
    <row r="14" spans="2:15" x14ac:dyDescent="0.2">
      <c r="B14" s="13">
        <v>100</v>
      </c>
      <c r="C14" s="8">
        <v>1.95</v>
      </c>
      <c r="D14" s="8">
        <v>6.18</v>
      </c>
      <c r="E14" s="10">
        <v>12.73</v>
      </c>
      <c r="F14" s="11">
        <v>18.57</v>
      </c>
      <c r="H14" s="20">
        <v>25</v>
      </c>
      <c r="O14" s="2"/>
    </row>
    <row r="15" spans="2:15" x14ac:dyDescent="0.2">
      <c r="B15" s="13">
        <v>110</v>
      </c>
      <c r="C15" s="8">
        <v>2.77</v>
      </c>
      <c r="D15" s="8">
        <v>7.46</v>
      </c>
      <c r="E15" s="10">
        <v>14.32</v>
      </c>
      <c r="F15" s="11">
        <v>20.309999999999999</v>
      </c>
      <c r="H15" s="20">
        <v>22.727272727272727</v>
      </c>
      <c r="O15" s="2"/>
    </row>
    <row r="16" spans="2:15" x14ac:dyDescent="0.2">
      <c r="B16" s="13">
        <v>120</v>
      </c>
      <c r="C16" s="8">
        <v>3.72</v>
      </c>
      <c r="D16" s="8">
        <v>8.77</v>
      </c>
      <c r="E16" s="10">
        <v>15.45</v>
      </c>
      <c r="F16" s="8"/>
      <c r="H16" s="20">
        <v>20.833333333333332</v>
      </c>
      <c r="O16" s="2"/>
    </row>
    <row r="17" spans="2:15" x14ac:dyDescent="0.2">
      <c r="B17" s="13">
        <v>130</v>
      </c>
      <c r="C17" s="8">
        <v>4.75</v>
      </c>
      <c r="D17" s="8">
        <v>10.16</v>
      </c>
      <c r="E17" s="10">
        <v>17.600000000000001</v>
      </c>
      <c r="F17" s="8"/>
      <c r="H17" s="20">
        <v>19.230769230769234</v>
      </c>
      <c r="O17" s="2"/>
    </row>
    <row r="18" spans="2:15" x14ac:dyDescent="0.2">
      <c r="B18" s="13">
        <v>140</v>
      </c>
      <c r="C18" s="8">
        <v>5.93</v>
      </c>
      <c r="D18" s="8">
        <v>11.65</v>
      </c>
      <c r="E18" s="8"/>
      <c r="F18" s="8"/>
      <c r="H18" s="20">
        <v>17.857142857142858</v>
      </c>
      <c r="O18" s="2"/>
    </row>
    <row r="19" spans="2:15" x14ac:dyDescent="0.2">
      <c r="B19" s="13">
        <v>150</v>
      </c>
      <c r="C19" s="8">
        <v>7.15</v>
      </c>
      <c r="D19" s="8"/>
      <c r="E19" s="8"/>
      <c r="F19" s="8"/>
      <c r="H19" s="20">
        <v>16.666666666666668</v>
      </c>
      <c r="O19" s="2"/>
    </row>
    <row r="20" spans="2:15" x14ac:dyDescent="0.2">
      <c r="B20" s="13">
        <v>160</v>
      </c>
      <c r="C20" s="8">
        <v>8.44</v>
      </c>
      <c r="D20" s="8"/>
      <c r="E20" s="8"/>
      <c r="F20" s="8"/>
      <c r="H20" s="20">
        <v>15.625</v>
      </c>
      <c r="O20" s="2"/>
    </row>
    <row r="21" spans="2:15" x14ac:dyDescent="0.2">
      <c r="B21" s="13">
        <v>170</v>
      </c>
      <c r="C21" s="8">
        <v>9.84</v>
      </c>
      <c r="D21" s="8"/>
      <c r="E21" s="8"/>
      <c r="F21" s="8"/>
      <c r="H21" s="20">
        <v>14.705882352941176</v>
      </c>
      <c r="O21" s="2"/>
    </row>
    <row r="22" spans="2:15" ht="15" thickBot="1" x14ac:dyDescent="0.25">
      <c r="B22" s="14">
        <v>180</v>
      </c>
      <c r="C22" s="12">
        <v>11.27</v>
      </c>
      <c r="D22" s="12"/>
      <c r="E22" s="12"/>
      <c r="F22" s="12"/>
      <c r="H22" s="21">
        <v>13.888888888888888</v>
      </c>
      <c r="O22" s="2"/>
    </row>
    <row r="23" spans="2:15" x14ac:dyDescent="0.2">
      <c r="B23" s="13">
        <v>190</v>
      </c>
      <c r="C23" s="25"/>
      <c r="D23" s="25"/>
      <c r="E23" s="25"/>
      <c r="F23" s="25"/>
      <c r="H23" s="26">
        <v>13.157894736842104</v>
      </c>
    </row>
    <row r="24" spans="2:15" ht="15" thickBot="1" x14ac:dyDescent="0.25">
      <c r="B24" s="14">
        <v>200</v>
      </c>
      <c r="C24" s="25"/>
      <c r="D24" s="25"/>
      <c r="E24" s="25"/>
      <c r="F24" s="25"/>
      <c r="H24" s="26">
        <v>12.5</v>
      </c>
    </row>
    <row r="25" spans="2:15" x14ac:dyDescent="0.2">
      <c r="B25" s="13">
        <v>210</v>
      </c>
      <c r="C25" s="25"/>
      <c r="D25" s="25"/>
      <c r="E25" s="25"/>
      <c r="F25" s="25"/>
      <c r="H25" s="26">
        <v>11.904761904761903</v>
      </c>
    </row>
    <row r="26" spans="2:15" ht="15" thickBot="1" x14ac:dyDescent="0.25">
      <c r="B26" s="14">
        <v>220</v>
      </c>
      <c r="C26" s="25"/>
      <c r="D26" s="25"/>
      <c r="E26" s="25"/>
      <c r="F26" s="25"/>
      <c r="H26" s="26">
        <v>11.363636363636363</v>
      </c>
    </row>
    <row r="27" spans="2:15" x14ac:dyDescent="0.2">
      <c r="B27" s="13">
        <v>230</v>
      </c>
      <c r="C27" s="25"/>
      <c r="D27" s="25"/>
      <c r="E27" s="25"/>
      <c r="F27" s="25"/>
      <c r="H27" s="26">
        <v>10.869565217391305</v>
      </c>
    </row>
    <row r="28" spans="2:15" ht="15" thickBot="1" x14ac:dyDescent="0.25">
      <c r="B28" s="14">
        <v>240</v>
      </c>
      <c r="C28" s="25"/>
      <c r="D28" s="25"/>
      <c r="E28" s="25"/>
      <c r="F28" s="25"/>
      <c r="H28" s="26">
        <v>10.416666666666666</v>
      </c>
    </row>
    <row r="34" spans="4:5" x14ac:dyDescent="0.2">
      <c r="D34" s="13">
        <v>0</v>
      </c>
      <c r="E34" s="11">
        <v>0.13</v>
      </c>
    </row>
    <row r="35" spans="4:5" x14ac:dyDescent="0.2">
      <c r="D35" s="13">
        <v>10</v>
      </c>
      <c r="E35" s="11">
        <v>4.67</v>
      </c>
    </row>
    <row r="36" spans="4:5" x14ac:dyDescent="0.2">
      <c r="D36" s="13">
        <v>20</v>
      </c>
      <c r="E36" s="11">
        <v>6.01</v>
      </c>
    </row>
    <row r="37" spans="4:5" x14ac:dyDescent="0.2">
      <c r="D37" s="13">
        <v>30</v>
      </c>
      <c r="E37" s="11">
        <v>7.5</v>
      </c>
    </row>
    <row r="38" spans="4:5" x14ac:dyDescent="0.2">
      <c r="D38" s="13">
        <v>40</v>
      </c>
      <c r="E38" s="11">
        <v>8.9700000000000006</v>
      </c>
    </row>
    <row r="39" spans="4:5" x14ac:dyDescent="0.2">
      <c r="D39" s="13">
        <v>50</v>
      </c>
      <c r="E39" s="11">
        <v>10.47</v>
      </c>
    </row>
    <row r="40" spans="4:5" x14ac:dyDescent="0.2">
      <c r="D40" s="13">
        <v>60</v>
      </c>
      <c r="E40" s="11">
        <v>12</v>
      </c>
    </row>
    <row r="41" spans="4:5" x14ac:dyDescent="0.2">
      <c r="D41" s="13">
        <v>70</v>
      </c>
      <c r="E41" s="11">
        <v>13.59</v>
      </c>
    </row>
    <row r="42" spans="4:5" x14ac:dyDescent="0.2">
      <c r="D42" s="13">
        <v>80</v>
      </c>
      <c r="E42" s="11">
        <v>15.2</v>
      </c>
    </row>
    <row r="43" spans="4:5" x14ac:dyDescent="0.2">
      <c r="D43" s="13">
        <v>90</v>
      </c>
      <c r="E43" s="11">
        <v>16.88</v>
      </c>
    </row>
    <row r="44" spans="4:5" x14ac:dyDescent="0.2">
      <c r="D44" s="13">
        <v>100</v>
      </c>
      <c r="E44" s="11">
        <v>18.57</v>
      </c>
    </row>
    <row r="45" spans="4:5" x14ac:dyDescent="0.2">
      <c r="D45" s="13">
        <v>110</v>
      </c>
      <c r="E45" s="11">
        <v>20.309999999999999</v>
      </c>
    </row>
    <row r="46" spans="4:5" x14ac:dyDescent="0.2">
      <c r="D46" s="13">
        <v>120</v>
      </c>
      <c r="E46" s="10">
        <v>15.45</v>
      </c>
    </row>
    <row r="47" spans="4:5" x14ac:dyDescent="0.2">
      <c r="D47" s="13">
        <v>130</v>
      </c>
      <c r="E47" s="10">
        <v>17.600000000000001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7CA5-6721-4819-A6AD-9AC2B2D8FA6F}">
  <dimension ref="A3:H19"/>
  <sheetViews>
    <sheetView topLeftCell="B1" zoomScaleNormal="100" workbookViewId="0">
      <selection activeCell="H6" sqref="H6"/>
    </sheetView>
  </sheetViews>
  <sheetFormatPr defaultRowHeight="14.25" x14ac:dyDescent="0.2"/>
  <cols>
    <col min="1" max="2" width="9.140625" style="1"/>
    <col min="3" max="3" width="10.7109375" style="1" bestFit="1" customWidth="1"/>
    <col min="4" max="4" width="9.5703125" style="1" bestFit="1" customWidth="1"/>
    <col min="5" max="6" width="9.140625" style="1"/>
    <col min="7" max="8" width="10.7109375" style="1" bestFit="1" customWidth="1"/>
    <col min="9" max="16384" width="9.140625" style="1"/>
  </cols>
  <sheetData>
    <row r="3" spans="1:8" x14ac:dyDescent="0.2">
      <c r="B3" s="1" t="s">
        <v>16</v>
      </c>
      <c r="C3" s="1" t="s">
        <v>17</v>
      </c>
      <c r="D3" s="1" t="s">
        <v>16</v>
      </c>
      <c r="E3" s="1" t="s">
        <v>15</v>
      </c>
      <c r="F3" s="1" t="s">
        <v>14</v>
      </c>
    </row>
    <row r="4" spans="1:8" x14ac:dyDescent="0.2">
      <c r="A4" s="1">
        <f>(2+30/B4)*D4/100</f>
        <v>50</v>
      </c>
      <c r="B4" s="1">
        <v>10</v>
      </c>
      <c r="C4" s="31">
        <f>10^2</f>
        <v>100</v>
      </c>
      <c r="D4" s="33">
        <f>B4*C4</f>
        <v>1000</v>
      </c>
      <c r="E4" s="29">
        <v>0.36</v>
      </c>
      <c r="F4" s="30">
        <f>E4/0.2</f>
        <v>1.7999999999999998</v>
      </c>
      <c r="G4" s="1">
        <f>D4/1000</f>
        <v>1</v>
      </c>
      <c r="H4" s="32">
        <f>(2 * B4 + 30) / 100 * C4</f>
        <v>50</v>
      </c>
    </row>
    <row r="5" spans="1:8" x14ac:dyDescent="0.2">
      <c r="A5" s="1">
        <f>(2+30/B5)*D5/100</f>
        <v>700</v>
      </c>
      <c r="B5" s="1">
        <v>20</v>
      </c>
      <c r="C5" s="31">
        <f t="shared" ref="C5:C9" si="0">10^3</f>
        <v>1000</v>
      </c>
      <c r="D5" s="33">
        <f>B5*C5</f>
        <v>20000</v>
      </c>
      <c r="E5" s="29">
        <v>0.35199999999999998</v>
      </c>
      <c r="F5" s="30">
        <f t="shared" ref="F5:F19" si="1">E5/0.2</f>
        <v>1.7599999999999998</v>
      </c>
      <c r="G5" s="1">
        <f t="shared" ref="G5:G19" si="2">D5/1000</f>
        <v>20</v>
      </c>
      <c r="H5" s="32">
        <f t="shared" ref="H5:H19" si="3">(2 * B5 + 30) / 100 * C5</f>
        <v>700</v>
      </c>
    </row>
    <row r="6" spans="1:8" x14ac:dyDescent="0.2">
      <c r="A6" s="1">
        <f>(2+30/B6)*D6/100</f>
        <v>1100</v>
      </c>
      <c r="B6" s="1">
        <v>40</v>
      </c>
      <c r="C6" s="31">
        <f t="shared" si="0"/>
        <v>1000</v>
      </c>
      <c r="D6" s="33">
        <f>B6*C6</f>
        <v>40000</v>
      </c>
      <c r="E6" s="29">
        <v>0.35599999999999998</v>
      </c>
      <c r="F6" s="30">
        <f t="shared" si="1"/>
        <v>1.7799999999999998</v>
      </c>
      <c r="G6" s="1">
        <f t="shared" si="2"/>
        <v>40</v>
      </c>
      <c r="H6" s="32">
        <f t="shared" si="3"/>
        <v>1100</v>
      </c>
    </row>
    <row r="7" spans="1:8" x14ac:dyDescent="0.2">
      <c r="A7" s="1">
        <f>(2+30/B7)*D7/100</f>
        <v>1300</v>
      </c>
      <c r="B7" s="1">
        <v>50</v>
      </c>
      <c r="C7" s="31">
        <f t="shared" si="0"/>
        <v>1000</v>
      </c>
      <c r="D7" s="33">
        <f>B7*C7</f>
        <v>50000</v>
      </c>
      <c r="E7" s="29">
        <v>0.34799999999999998</v>
      </c>
      <c r="F7" s="30">
        <f t="shared" si="1"/>
        <v>1.7399999999999998</v>
      </c>
      <c r="G7" s="1">
        <f t="shared" si="2"/>
        <v>50</v>
      </c>
      <c r="H7" s="32">
        <f t="shared" si="3"/>
        <v>1300</v>
      </c>
    </row>
    <row r="8" spans="1:8" x14ac:dyDescent="0.2">
      <c r="A8" s="1">
        <f>(2+30/B8)*D8/100</f>
        <v>1700</v>
      </c>
      <c r="B8" s="1">
        <v>70</v>
      </c>
      <c r="C8" s="31">
        <f t="shared" si="0"/>
        <v>1000</v>
      </c>
      <c r="D8" s="33">
        <f>B8*C8</f>
        <v>70000</v>
      </c>
      <c r="E8" s="29">
        <v>0.35199999999999998</v>
      </c>
      <c r="F8" s="30">
        <f t="shared" si="1"/>
        <v>1.7599999999999998</v>
      </c>
      <c r="G8" s="1">
        <f t="shared" si="2"/>
        <v>70</v>
      </c>
      <c r="H8" s="32">
        <f t="shared" si="3"/>
        <v>1700</v>
      </c>
    </row>
    <row r="9" spans="1:8" x14ac:dyDescent="0.2">
      <c r="A9" s="1">
        <f>(2+30/B9)*D9/100</f>
        <v>2100</v>
      </c>
      <c r="B9" s="1">
        <v>90</v>
      </c>
      <c r="C9" s="31">
        <f t="shared" si="0"/>
        <v>1000</v>
      </c>
      <c r="D9" s="33">
        <f>B9*C9</f>
        <v>90000</v>
      </c>
      <c r="E9" s="29">
        <v>0.35199999999999998</v>
      </c>
      <c r="F9" s="30">
        <f t="shared" si="1"/>
        <v>1.7599999999999998</v>
      </c>
      <c r="G9" s="1">
        <f t="shared" si="2"/>
        <v>90</v>
      </c>
      <c r="H9" s="32">
        <f t="shared" si="3"/>
        <v>2100</v>
      </c>
    </row>
    <row r="10" spans="1:8" x14ac:dyDescent="0.2">
      <c r="A10" s="1">
        <f>(2+30/B10)*D10/100</f>
        <v>5400</v>
      </c>
      <c r="B10" s="1">
        <v>12</v>
      </c>
      <c r="C10" s="31">
        <f t="shared" ref="C10:C18" si="4">10^4</f>
        <v>10000</v>
      </c>
      <c r="D10" s="33">
        <f>B10*C10</f>
        <v>120000</v>
      </c>
      <c r="E10" s="29">
        <v>0.35199999999999998</v>
      </c>
      <c r="F10" s="30">
        <f t="shared" si="1"/>
        <v>1.7599999999999998</v>
      </c>
      <c r="G10" s="1">
        <f t="shared" si="2"/>
        <v>120</v>
      </c>
      <c r="H10" s="32">
        <f t="shared" si="3"/>
        <v>5400</v>
      </c>
    </row>
    <row r="11" spans="1:8" x14ac:dyDescent="0.2">
      <c r="A11" s="1">
        <f>(2+30/B11)*D11/100</f>
        <v>5799.9999999999991</v>
      </c>
      <c r="B11" s="1">
        <v>14</v>
      </c>
      <c r="C11" s="31">
        <f t="shared" si="4"/>
        <v>10000</v>
      </c>
      <c r="D11" s="33">
        <f>B11*C11</f>
        <v>140000</v>
      </c>
      <c r="E11" s="29">
        <v>0.35199999999999998</v>
      </c>
      <c r="F11" s="30">
        <f t="shared" si="1"/>
        <v>1.7599999999999998</v>
      </c>
      <c r="G11" s="1">
        <f t="shared" si="2"/>
        <v>140</v>
      </c>
      <c r="H11" s="32">
        <f t="shared" si="3"/>
        <v>5800</v>
      </c>
    </row>
    <row r="12" spans="1:8" x14ac:dyDescent="0.2">
      <c r="A12" s="1">
        <f>(2+30/B12)*D12/100</f>
        <v>6600</v>
      </c>
      <c r="B12" s="1">
        <v>18</v>
      </c>
      <c r="C12" s="31">
        <f t="shared" si="4"/>
        <v>10000</v>
      </c>
      <c r="D12" s="33">
        <f>B12*C12</f>
        <v>180000</v>
      </c>
      <c r="E12" s="29">
        <v>0.34399999999999997</v>
      </c>
      <c r="F12" s="30">
        <f t="shared" si="1"/>
        <v>1.7199999999999998</v>
      </c>
      <c r="G12" s="1">
        <f t="shared" si="2"/>
        <v>180</v>
      </c>
      <c r="H12" s="32">
        <f t="shared" si="3"/>
        <v>6600</v>
      </c>
    </row>
    <row r="13" spans="1:8" x14ac:dyDescent="0.2">
      <c r="A13" s="1">
        <f>(2+30/B13)*D13/100</f>
        <v>7600</v>
      </c>
      <c r="B13" s="1">
        <v>23</v>
      </c>
      <c r="C13" s="31">
        <f t="shared" si="4"/>
        <v>10000</v>
      </c>
      <c r="D13" s="33">
        <f>B13*C13</f>
        <v>230000</v>
      </c>
      <c r="E13" s="29">
        <v>0.34399999999999997</v>
      </c>
      <c r="F13" s="30">
        <f t="shared" si="1"/>
        <v>1.7199999999999998</v>
      </c>
      <c r="G13" s="1">
        <f t="shared" si="2"/>
        <v>230</v>
      </c>
      <c r="H13" s="32">
        <f t="shared" si="3"/>
        <v>7600</v>
      </c>
    </row>
    <row r="14" spans="1:8" x14ac:dyDescent="0.2">
      <c r="A14" s="1">
        <f>(2+30/B14)*D14/100</f>
        <v>8400</v>
      </c>
      <c r="B14" s="1">
        <v>27</v>
      </c>
      <c r="C14" s="31">
        <f t="shared" si="4"/>
        <v>10000</v>
      </c>
      <c r="D14" s="33">
        <f>B14*C14</f>
        <v>270000</v>
      </c>
      <c r="E14" s="29">
        <v>0.33600000000000002</v>
      </c>
      <c r="F14" s="30">
        <f t="shared" si="1"/>
        <v>1.68</v>
      </c>
      <c r="G14" s="1">
        <f t="shared" si="2"/>
        <v>270</v>
      </c>
      <c r="H14" s="32">
        <f t="shared" si="3"/>
        <v>8400</v>
      </c>
    </row>
    <row r="15" spans="1:8" x14ac:dyDescent="0.2">
      <c r="A15" s="1">
        <f>(2+30/B15)*D15/100</f>
        <v>13000</v>
      </c>
      <c r="B15" s="1">
        <v>50</v>
      </c>
      <c r="C15" s="31">
        <f t="shared" si="4"/>
        <v>10000</v>
      </c>
      <c r="D15" s="33">
        <f>B15*C15</f>
        <v>500000</v>
      </c>
      <c r="E15" s="29">
        <v>0.308</v>
      </c>
      <c r="F15" s="30">
        <f t="shared" si="1"/>
        <v>1.5399999999999998</v>
      </c>
      <c r="G15" s="1">
        <f t="shared" si="2"/>
        <v>500</v>
      </c>
      <c r="H15" s="32">
        <f t="shared" si="3"/>
        <v>13000</v>
      </c>
    </row>
    <row r="16" spans="1:8" x14ac:dyDescent="0.2">
      <c r="A16" s="1">
        <f>(2+30/B16)*D16/100</f>
        <v>15000</v>
      </c>
      <c r="B16" s="1">
        <v>60</v>
      </c>
      <c r="C16" s="31">
        <f t="shared" si="4"/>
        <v>10000</v>
      </c>
      <c r="D16" s="33">
        <f>B16*C16</f>
        <v>600000</v>
      </c>
      <c r="E16" s="29">
        <v>0.28799999999999998</v>
      </c>
      <c r="F16" s="30">
        <f t="shared" si="1"/>
        <v>1.4399999999999997</v>
      </c>
      <c r="G16" s="1">
        <f t="shared" si="2"/>
        <v>600</v>
      </c>
      <c r="H16" s="32">
        <f t="shared" si="3"/>
        <v>15000</v>
      </c>
    </row>
    <row r="17" spans="1:8" x14ac:dyDescent="0.2">
      <c r="A17" s="1">
        <f>(2+30/B17)*D17/100</f>
        <v>16999.999999999996</v>
      </c>
      <c r="B17" s="1">
        <v>70</v>
      </c>
      <c r="C17" s="31">
        <f t="shared" si="4"/>
        <v>10000</v>
      </c>
      <c r="D17" s="33">
        <f>B17*C17</f>
        <v>700000</v>
      </c>
      <c r="E17" s="29">
        <v>0.27200000000000002</v>
      </c>
      <c r="F17" s="30">
        <f t="shared" si="1"/>
        <v>1.36</v>
      </c>
      <c r="G17" s="1">
        <f t="shared" si="2"/>
        <v>700</v>
      </c>
      <c r="H17" s="32">
        <f t="shared" si="3"/>
        <v>17000</v>
      </c>
    </row>
    <row r="18" spans="1:8" x14ac:dyDescent="0.2">
      <c r="A18" s="1">
        <f>(2+30/B18)*D18/100</f>
        <v>19000</v>
      </c>
      <c r="B18" s="1">
        <v>80</v>
      </c>
      <c r="C18" s="31">
        <f t="shared" si="4"/>
        <v>10000</v>
      </c>
      <c r="D18" s="33">
        <f>B18*C18</f>
        <v>800000</v>
      </c>
      <c r="E18" s="29">
        <v>0.254</v>
      </c>
      <c r="F18" s="30">
        <f t="shared" si="1"/>
        <v>1.27</v>
      </c>
      <c r="G18" s="1">
        <f t="shared" si="2"/>
        <v>800</v>
      </c>
      <c r="H18" s="32">
        <f t="shared" si="3"/>
        <v>19000</v>
      </c>
    </row>
    <row r="19" spans="1:8" x14ac:dyDescent="0.2">
      <c r="A19" s="1">
        <f>(2+30/B19)*D19/100</f>
        <v>21000</v>
      </c>
      <c r="B19" s="1">
        <v>90</v>
      </c>
      <c r="C19" s="31">
        <f>10^4</f>
        <v>10000</v>
      </c>
      <c r="D19" s="33">
        <f>B19*C19</f>
        <v>900000</v>
      </c>
      <c r="E19" s="29">
        <v>0.24</v>
      </c>
      <c r="F19" s="30">
        <f t="shared" si="1"/>
        <v>1.2</v>
      </c>
      <c r="G19" s="1">
        <f t="shared" si="2"/>
        <v>900</v>
      </c>
      <c r="H19" s="32">
        <f t="shared" si="3"/>
        <v>21000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BD95-3BBB-4329-A964-DC42FA0A821F}">
  <dimension ref="B1:C12"/>
  <sheetViews>
    <sheetView tabSelected="1" zoomScale="115" zoomScaleNormal="115" workbookViewId="0">
      <selection activeCell="Q8" sqref="Q8"/>
    </sheetView>
  </sheetViews>
  <sheetFormatPr defaultRowHeight="14.25" x14ac:dyDescent="0.2"/>
  <cols>
    <col min="1" max="16384" width="9.140625" style="1"/>
  </cols>
  <sheetData>
    <row r="1" spans="2:3" ht="15" thickBot="1" x14ac:dyDescent="0.25"/>
    <row r="2" spans="2:3" x14ac:dyDescent="0.2">
      <c r="B2" s="4" t="s">
        <v>7</v>
      </c>
      <c r="C2" s="19" t="s">
        <v>2</v>
      </c>
    </row>
    <row r="3" spans="2:3" x14ac:dyDescent="0.2">
      <c r="B3" s="13">
        <v>2</v>
      </c>
      <c r="C3" s="20">
        <v>3.78</v>
      </c>
    </row>
    <row r="4" spans="2:3" x14ac:dyDescent="0.2">
      <c r="B4" s="13">
        <v>4</v>
      </c>
      <c r="C4" s="20">
        <v>10.16</v>
      </c>
    </row>
    <row r="5" spans="2:3" x14ac:dyDescent="0.2">
      <c r="B5" s="13">
        <v>6</v>
      </c>
      <c r="C5" s="20">
        <v>16.88</v>
      </c>
    </row>
    <row r="6" spans="2:3" x14ac:dyDescent="0.2">
      <c r="B6" s="13">
        <v>8</v>
      </c>
      <c r="C6" s="20">
        <v>24.84</v>
      </c>
    </row>
    <row r="7" spans="2:3" x14ac:dyDescent="0.2">
      <c r="B7" s="13">
        <v>10</v>
      </c>
      <c r="C7" s="20">
        <v>32.4</v>
      </c>
    </row>
    <row r="8" spans="2:3" x14ac:dyDescent="0.2">
      <c r="B8" s="13">
        <v>12</v>
      </c>
      <c r="C8" s="20">
        <v>40.9</v>
      </c>
    </row>
    <row r="9" spans="2:3" x14ac:dyDescent="0.2">
      <c r="B9" s="13">
        <v>14</v>
      </c>
      <c r="C9" s="20">
        <v>49.94</v>
      </c>
    </row>
    <row r="10" spans="2:3" x14ac:dyDescent="0.2">
      <c r="B10" s="13">
        <v>16</v>
      </c>
      <c r="C10" s="20">
        <v>62.4</v>
      </c>
    </row>
    <row r="11" spans="2:3" x14ac:dyDescent="0.2">
      <c r="B11" s="13">
        <v>18</v>
      </c>
      <c r="C11" s="20">
        <v>73.52</v>
      </c>
    </row>
    <row r="12" spans="2:3" ht="15" thickBot="1" x14ac:dyDescent="0.25">
      <c r="B12" s="14">
        <v>20</v>
      </c>
      <c r="C12" s="21">
        <v>86.31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B24A-B1EF-4497-B49F-FF2EF80BADF0}">
  <dimension ref="B2:C28"/>
  <sheetViews>
    <sheetView topLeftCell="A16" zoomScale="130" zoomScaleNormal="130" workbookViewId="0">
      <selection activeCell="C5" sqref="C5:C28"/>
    </sheetView>
  </sheetViews>
  <sheetFormatPr defaultRowHeight="14.25" x14ac:dyDescent="0.25"/>
  <cols>
    <col min="1" max="2" width="9.140625" style="2"/>
    <col min="3" max="3" width="9.5703125" style="2" bestFit="1" customWidth="1"/>
    <col min="4" max="16384" width="9.140625" style="2"/>
  </cols>
  <sheetData>
    <row r="2" spans="2:3" x14ac:dyDescent="0.25">
      <c r="B2" s="3" t="s">
        <v>8</v>
      </c>
      <c r="C2" s="2">
        <v>2.5</v>
      </c>
    </row>
    <row r="3" spans="2:3" ht="15" thickBot="1" x14ac:dyDescent="0.3"/>
    <row r="4" spans="2:3" x14ac:dyDescent="0.25">
      <c r="B4" s="4" t="s">
        <v>7</v>
      </c>
      <c r="C4" s="19" t="s">
        <v>2</v>
      </c>
    </row>
    <row r="5" spans="2:3" x14ac:dyDescent="0.25">
      <c r="B5" s="13">
        <v>10</v>
      </c>
      <c r="C5" s="20">
        <f>$C$2/B5*1000</f>
        <v>250</v>
      </c>
    </row>
    <row r="6" spans="2:3" x14ac:dyDescent="0.25">
      <c r="B6" s="13">
        <v>20</v>
      </c>
      <c r="C6" s="20">
        <f t="shared" ref="C6:C28" si="0">$C$2/B6*1000</f>
        <v>125</v>
      </c>
    </row>
    <row r="7" spans="2:3" x14ac:dyDescent="0.25">
      <c r="B7" s="13">
        <v>30</v>
      </c>
      <c r="C7" s="20">
        <f t="shared" si="0"/>
        <v>83.333333333333329</v>
      </c>
    </row>
    <row r="8" spans="2:3" x14ac:dyDescent="0.25">
      <c r="B8" s="13">
        <v>40</v>
      </c>
      <c r="C8" s="20">
        <f t="shared" si="0"/>
        <v>62.5</v>
      </c>
    </row>
    <row r="9" spans="2:3" x14ac:dyDescent="0.25">
      <c r="B9" s="13">
        <v>50</v>
      </c>
      <c r="C9" s="20">
        <f t="shared" si="0"/>
        <v>50</v>
      </c>
    </row>
    <row r="10" spans="2:3" x14ac:dyDescent="0.25">
      <c r="B10" s="13">
        <v>60</v>
      </c>
      <c r="C10" s="20">
        <f t="shared" si="0"/>
        <v>41.666666666666664</v>
      </c>
    </row>
    <row r="11" spans="2:3" x14ac:dyDescent="0.25">
      <c r="B11" s="13">
        <v>70</v>
      </c>
      <c r="C11" s="20">
        <f t="shared" si="0"/>
        <v>35.714285714285715</v>
      </c>
    </row>
    <row r="12" spans="2:3" x14ac:dyDescent="0.25">
      <c r="B12" s="13">
        <v>80</v>
      </c>
      <c r="C12" s="20">
        <f t="shared" si="0"/>
        <v>31.25</v>
      </c>
    </row>
    <row r="13" spans="2:3" x14ac:dyDescent="0.25">
      <c r="B13" s="13">
        <v>90</v>
      </c>
      <c r="C13" s="20">
        <f t="shared" si="0"/>
        <v>27.777777777777775</v>
      </c>
    </row>
    <row r="14" spans="2:3" x14ac:dyDescent="0.25">
      <c r="B14" s="13">
        <v>100</v>
      </c>
      <c r="C14" s="20">
        <f t="shared" si="0"/>
        <v>25</v>
      </c>
    </row>
    <row r="15" spans="2:3" x14ac:dyDescent="0.25">
      <c r="B15" s="13">
        <v>110</v>
      </c>
      <c r="C15" s="20">
        <f t="shared" si="0"/>
        <v>22.727272727272727</v>
      </c>
    </row>
    <row r="16" spans="2:3" x14ac:dyDescent="0.25">
      <c r="B16" s="13">
        <v>120</v>
      </c>
      <c r="C16" s="20">
        <f t="shared" si="0"/>
        <v>20.833333333333332</v>
      </c>
    </row>
    <row r="17" spans="2:3" x14ac:dyDescent="0.25">
      <c r="B17" s="13">
        <v>130</v>
      </c>
      <c r="C17" s="20">
        <f t="shared" si="0"/>
        <v>19.230769230769234</v>
      </c>
    </row>
    <row r="18" spans="2:3" x14ac:dyDescent="0.25">
      <c r="B18" s="13">
        <v>140</v>
      </c>
      <c r="C18" s="20">
        <f t="shared" si="0"/>
        <v>17.857142857142858</v>
      </c>
    </row>
    <row r="19" spans="2:3" x14ac:dyDescent="0.25">
      <c r="B19" s="13">
        <v>150</v>
      </c>
      <c r="C19" s="20">
        <f t="shared" si="0"/>
        <v>16.666666666666668</v>
      </c>
    </row>
    <row r="20" spans="2:3" x14ac:dyDescent="0.25">
      <c r="B20" s="13">
        <v>160</v>
      </c>
      <c r="C20" s="20">
        <f t="shared" si="0"/>
        <v>15.625</v>
      </c>
    </row>
    <row r="21" spans="2:3" x14ac:dyDescent="0.25">
      <c r="B21" s="13">
        <v>170</v>
      </c>
      <c r="C21" s="20">
        <f t="shared" si="0"/>
        <v>14.705882352941176</v>
      </c>
    </row>
    <row r="22" spans="2:3" x14ac:dyDescent="0.25">
      <c r="B22" s="13">
        <v>180</v>
      </c>
      <c r="C22" s="20">
        <f t="shared" si="0"/>
        <v>13.888888888888888</v>
      </c>
    </row>
    <row r="23" spans="2:3" x14ac:dyDescent="0.25">
      <c r="B23" s="13">
        <v>190</v>
      </c>
      <c r="C23" s="20">
        <f t="shared" si="0"/>
        <v>13.157894736842104</v>
      </c>
    </row>
    <row r="24" spans="2:3" x14ac:dyDescent="0.25">
      <c r="B24" s="13">
        <v>200</v>
      </c>
      <c r="C24" s="20">
        <f t="shared" si="0"/>
        <v>12.5</v>
      </c>
    </row>
    <row r="25" spans="2:3" x14ac:dyDescent="0.25">
      <c r="B25" s="13">
        <v>210</v>
      </c>
      <c r="C25" s="20">
        <f t="shared" si="0"/>
        <v>11.904761904761903</v>
      </c>
    </row>
    <row r="26" spans="2:3" x14ac:dyDescent="0.25">
      <c r="B26" s="13">
        <v>220</v>
      </c>
      <c r="C26" s="20">
        <f t="shared" si="0"/>
        <v>11.363636363636363</v>
      </c>
    </row>
    <row r="27" spans="2:3" x14ac:dyDescent="0.25">
      <c r="B27" s="13">
        <v>230</v>
      </c>
      <c r="C27" s="20">
        <f t="shared" si="0"/>
        <v>10.869565217391305</v>
      </c>
    </row>
    <row r="28" spans="2:3" ht="15" thickBot="1" x14ac:dyDescent="0.3">
      <c r="B28" s="14">
        <v>240</v>
      </c>
      <c r="C28" s="21">
        <f t="shared" si="0"/>
        <v>10.416666666666666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5CBFB-C1B1-48BC-9795-2209B8496CD0}">
  <dimension ref="A1:J24"/>
  <sheetViews>
    <sheetView topLeftCell="A48" workbookViewId="0">
      <selection activeCell="G5" sqref="G5"/>
    </sheetView>
  </sheetViews>
  <sheetFormatPr defaultRowHeight="14.25" x14ac:dyDescent="0.2"/>
  <cols>
    <col min="1" max="1" width="9.140625" style="1"/>
    <col min="2" max="2" width="6.140625" style="1" bestFit="1" customWidth="1"/>
    <col min="3" max="3" width="13" style="1" bestFit="1" customWidth="1"/>
    <col min="4" max="4" width="8.42578125" style="1" bestFit="1" customWidth="1"/>
    <col min="5" max="5" width="9.5703125" style="1" bestFit="1" customWidth="1"/>
    <col min="6" max="6" width="8.42578125" style="1" bestFit="1" customWidth="1"/>
    <col min="7" max="7" width="9.5703125" style="1" bestFit="1" customWidth="1"/>
    <col min="8" max="8" width="8.42578125" style="1" bestFit="1" customWidth="1"/>
    <col min="9" max="9" width="9.5703125" style="1" bestFit="1" customWidth="1"/>
    <col min="10" max="16384" width="9.140625" style="1"/>
  </cols>
  <sheetData>
    <row r="1" spans="1:10" ht="15" thickBot="1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2">
      <c r="A2" s="24"/>
      <c r="D2" s="27" t="s">
        <v>9</v>
      </c>
      <c r="E2" s="28"/>
      <c r="F2" s="27" t="s">
        <v>10</v>
      </c>
      <c r="G2" s="28"/>
      <c r="H2" s="27" t="s">
        <v>11</v>
      </c>
      <c r="I2" s="28"/>
      <c r="J2" s="24"/>
    </row>
    <row r="3" spans="1:10" x14ac:dyDescent="0.2">
      <c r="A3" s="24"/>
      <c r="D3" s="5" t="s">
        <v>12</v>
      </c>
      <c r="E3" s="6" t="s">
        <v>2</v>
      </c>
      <c r="F3" s="5" t="s">
        <v>12</v>
      </c>
      <c r="G3" s="6" t="s">
        <v>2</v>
      </c>
      <c r="H3" s="5" t="s">
        <v>12</v>
      </c>
      <c r="I3" s="6" t="s">
        <v>2</v>
      </c>
      <c r="J3" s="24"/>
    </row>
    <row r="4" spans="1:10" x14ac:dyDescent="0.2">
      <c r="A4" s="24"/>
      <c r="B4" s="1">
        <v>-5.5</v>
      </c>
      <c r="D4" s="22"/>
      <c r="E4" s="20"/>
      <c r="F4" s="22"/>
      <c r="G4" s="20"/>
      <c r="H4" s="22">
        <v>-5.55</v>
      </c>
      <c r="I4" s="20">
        <v>0.53</v>
      </c>
      <c r="J4" s="24"/>
    </row>
    <row r="5" spans="1:10" x14ac:dyDescent="0.2">
      <c r="A5" s="24"/>
      <c r="B5" s="1">
        <f>B4+0.5</f>
        <v>-5</v>
      </c>
      <c r="D5" s="22"/>
      <c r="E5" s="20"/>
      <c r="F5" s="22"/>
      <c r="G5" s="20"/>
      <c r="H5" s="22">
        <v>-4.97</v>
      </c>
      <c r="I5" s="20">
        <v>0.87</v>
      </c>
      <c r="J5" s="24"/>
    </row>
    <row r="6" spans="1:10" x14ac:dyDescent="0.2">
      <c r="A6" s="24"/>
      <c r="B6" s="1">
        <f t="shared" ref="B6:B24" si="0">B5+0.5</f>
        <v>-4.5</v>
      </c>
      <c r="D6" s="22"/>
      <c r="E6" s="20"/>
      <c r="F6" s="22">
        <v>-4.53</v>
      </c>
      <c r="G6" s="20">
        <v>0.37</v>
      </c>
      <c r="H6" s="22">
        <v>-4.54</v>
      </c>
      <c r="I6" s="20">
        <v>1.28</v>
      </c>
      <c r="J6" s="24"/>
    </row>
    <row r="7" spans="1:10" x14ac:dyDescent="0.2">
      <c r="A7" s="24"/>
      <c r="B7" s="1">
        <f t="shared" si="0"/>
        <v>-4</v>
      </c>
      <c r="D7" s="22"/>
      <c r="E7" s="20"/>
      <c r="F7" s="22">
        <v>-4</v>
      </c>
      <c r="G7" s="20">
        <v>0.73</v>
      </c>
      <c r="H7" s="22">
        <v>-4.03</v>
      </c>
      <c r="I7" s="20">
        <v>1.92</v>
      </c>
      <c r="J7" s="24"/>
    </row>
    <row r="8" spans="1:10" x14ac:dyDescent="0.2">
      <c r="A8" s="24"/>
      <c r="B8" s="1">
        <f t="shared" si="0"/>
        <v>-3.5</v>
      </c>
      <c r="D8" s="22"/>
      <c r="E8" s="20"/>
      <c r="F8" s="22">
        <v>-3.52</v>
      </c>
      <c r="G8" s="20">
        <v>1.2</v>
      </c>
      <c r="H8" s="22">
        <v>-3.5</v>
      </c>
      <c r="I8" s="20">
        <v>2.78</v>
      </c>
      <c r="J8" s="24"/>
    </row>
    <row r="9" spans="1:10" x14ac:dyDescent="0.2">
      <c r="A9" s="24"/>
      <c r="B9" s="1">
        <f t="shared" si="0"/>
        <v>-3</v>
      </c>
      <c r="D9" s="22">
        <v>-3.16</v>
      </c>
      <c r="E9" s="20">
        <v>0.5</v>
      </c>
      <c r="F9" s="22">
        <v>-3.08</v>
      </c>
      <c r="G9" s="20">
        <v>1.78</v>
      </c>
      <c r="H9" s="22">
        <v>-3.1</v>
      </c>
      <c r="I9" s="20">
        <v>3.55</v>
      </c>
      <c r="J9" s="24"/>
    </row>
    <row r="10" spans="1:10" x14ac:dyDescent="0.2">
      <c r="A10" s="24"/>
      <c r="B10" s="1">
        <f t="shared" si="0"/>
        <v>-2.5</v>
      </c>
      <c r="D10" s="22">
        <v>-2.38</v>
      </c>
      <c r="E10" s="20">
        <v>1.31</v>
      </c>
      <c r="F10" s="22">
        <v>-2.5</v>
      </c>
      <c r="G10" s="20">
        <v>2.78</v>
      </c>
      <c r="H10" s="22">
        <v>-2.5299999999999998</v>
      </c>
      <c r="I10" s="20">
        <v>4.78</v>
      </c>
      <c r="J10" s="24"/>
    </row>
    <row r="11" spans="1:10" x14ac:dyDescent="0.2">
      <c r="A11" s="24"/>
      <c r="B11" s="1">
        <f t="shared" si="0"/>
        <v>-2</v>
      </c>
      <c r="D11" s="22">
        <v>-2.04</v>
      </c>
      <c r="E11" s="20">
        <v>1.85</v>
      </c>
      <c r="F11" s="22">
        <v>-2</v>
      </c>
      <c r="G11" s="20">
        <v>3.8</v>
      </c>
      <c r="H11" s="22">
        <v>-2.04</v>
      </c>
      <c r="I11" s="20">
        <v>6.09</v>
      </c>
      <c r="J11" s="24"/>
    </row>
    <row r="12" spans="1:10" x14ac:dyDescent="0.2">
      <c r="A12" s="24"/>
      <c r="B12" s="1">
        <f t="shared" si="0"/>
        <v>-1.5</v>
      </c>
      <c r="D12" s="22">
        <v>-1.54</v>
      </c>
      <c r="E12" s="20">
        <v>2.78</v>
      </c>
      <c r="F12" s="22">
        <v>-1.54</v>
      </c>
      <c r="G12" s="20">
        <v>4.96</v>
      </c>
      <c r="H12" s="22">
        <v>-1.5</v>
      </c>
      <c r="I12" s="20">
        <v>7.56</v>
      </c>
      <c r="J12" s="24"/>
    </row>
    <row r="13" spans="1:10" x14ac:dyDescent="0.2">
      <c r="A13" s="24"/>
      <c r="B13" s="1">
        <f t="shared" si="0"/>
        <v>-1</v>
      </c>
      <c r="D13" s="22">
        <v>-1.0900000000000001</v>
      </c>
      <c r="E13" s="20">
        <v>3.76</v>
      </c>
      <c r="F13" s="22">
        <v>-0.95</v>
      </c>
      <c r="G13" s="20">
        <v>6.4</v>
      </c>
      <c r="H13" s="22">
        <v>-1.05</v>
      </c>
      <c r="I13" s="20">
        <v>8.9</v>
      </c>
      <c r="J13" s="24"/>
    </row>
    <row r="14" spans="1:10" x14ac:dyDescent="0.2">
      <c r="A14" s="24"/>
      <c r="B14" s="1">
        <f t="shared" si="0"/>
        <v>-0.5</v>
      </c>
      <c r="D14" s="22">
        <v>-0.55000000000000004</v>
      </c>
      <c r="E14" s="20">
        <v>5.16</v>
      </c>
      <c r="F14" s="22">
        <v>-0.56999999999999995</v>
      </c>
      <c r="G14" s="20">
        <v>7.6</v>
      </c>
      <c r="H14" s="22">
        <v>-0.55000000000000004</v>
      </c>
      <c r="I14" s="20">
        <v>10.48</v>
      </c>
      <c r="J14" s="24"/>
    </row>
    <row r="15" spans="1:10" x14ac:dyDescent="0.2">
      <c r="A15" s="24"/>
      <c r="B15" s="1">
        <f t="shared" si="0"/>
        <v>0</v>
      </c>
      <c r="D15" s="22">
        <v>0.08</v>
      </c>
      <c r="E15" s="20">
        <v>6.8</v>
      </c>
      <c r="F15" s="22">
        <v>0.06</v>
      </c>
      <c r="G15" s="20">
        <v>9.5</v>
      </c>
      <c r="H15" s="22">
        <v>0.11</v>
      </c>
      <c r="I15" s="20">
        <v>12.62</v>
      </c>
      <c r="J15" s="24"/>
    </row>
    <row r="16" spans="1:10" x14ac:dyDescent="0.2">
      <c r="A16" s="24"/>
      <c r="B16" s="1">
        <f t="shared" si="0"/>
        <v>0.5</v>
      </c>
      <c r="D16" s="22">
        <v>0.52</v>
      </c>
      <c r="E16" s="20">
        <v>7.9</v>
      </c>
      <c r="F16" s="22">
        <v>0.52</v>
      </c>
      <c r="G16" s="20">
        <v>10.78</v>
      </c>
      <c r="H16" s="22">
        <v>0.51</v>
      </c>
      <c r="I16" s="20">
        <v>13.85</v>
      </c>
      <c r="J16" s="24"/>
    </row>
    <row r="17" spans="1:10" x14ac:dyDescent="0.2">
      <c r="A17" s="24"/>
      <c r="B17" s="1">
        <f t="shared" si="0"/>
        <v>1</v>
      </c>
      <c r="D17" s="22">
        <v>1.02</v>
      </c>
      <c r="E17" s="20">
        <v>9.16</v>
      </c>
      <c r="F17" s="22">
        <v>0.98</v>
      </c>
      <c r="G17" s="20">
        <v>12.12</v>
      </c>
      <c r="H17" s="22">
        <v>1.07</v>
      </c>
      <c r="I17" s="20">
        <v>15.54</v>
      </c>
      <c r="J17" s="24"/>
    </row>
    <row r="18" spans="1:10" x14ac:dyDescent="0.2">
      <c r="A18" s="24"/>
      <c r="B18" s="1">
        <f t="shared" si="0"/>
        <v>1.5</v>
      </c>
      <c r="D18" s="22">
        <v>1.57</v>
      </c>
      <c r="E18" s="20">
        <v>10.6</v>
      </c>
      <c r="F18" s="22">
        <v>1.5</v>
      </c>
      <c r="G18" s="20">
        <v>13.49</v>
      </c>
      <c r="H18" s="22">
        <v>1.48</v>
      </c>
      <c r="I18" s="20">
        <v>16.77</v>
      </c>
      <c r="J18" s="24"/>
    </row>
    <row r="19" spans="1:10" x14ac:dyDescent="0.2">
      <c r="A19" s="24"/>
      <c r="B19" s="1">
        <f t="shared" si="0"/>
        <v>2</v>
      </c>
      <c r="D19" s="22">
        <v>2.04</v>
      </c>
      <c r="E19" s="20">
        <v>11.85</v>
      </c>
      <c r="F19" s="22">
        <v>2.13</v>
      </c>
      <c r="G19" s="20">
        <v>15.34</v>
      </c>
      <c r="H19" s="22">
        <v>2.09</v>
      </c>
      <c r="I19" s="20">
        <v>18.66</v>
      </c>
      <c r="J19" s="24"/>
    </row>
    <row r="20" spans="1:10" x14ac:dyDescent="0.2">
      <c r="A20" s="24"/>
      <c r="B20" s="1">
        <f t="shared" si="0"/>
        <v>2.5</v>
      </c>
      <c r="D20" s="22">
        <v>2.54</v>
      </c>
      <c r="E20" s="20">
        <v>13.21</v>
      </c>
      <c r="F20" s="22">
        <v>2.5299999999999998</v>
      </c>
      <c r="G20" s="20">
        <v>16.52</v>
      </c>
      <c r="H20" s="22">
        <v>2.5499999999999998</v>
      </c>
      <c r="I20" s="20">
        <v>20.13</v>
      </c>
      <c r="J20" s="24"/>
    </row>
    <row r="21" spans="1:10" x14ac:dyDescent="0.2">
      <c r="A21" s="24"/>
      <c r="B21" s="1">
        <f t="shared" si="0"/>
        <v>3</v>
      </c>
      <c r="D21" s="22">
        <v>3.04</v>
      </c>
      <c r="E21" s="20">
        <v>14.62</v>
      </c>
      <c r="F21" s="22">
        <v>2.99</v>
      </c>
      <c r="G21" s="20">
        <v>17.920000000000002</v>
      </c>
      <c r="H21" s="22">
        <v>3.07</v>
      </c>
      <c r="I21" s="20">
        <v>21.83</v>
      </c>
      <c r="J21" s="24"/>
    </row>
    <row r="22" spans="1:10" x14ac:dyDescent="0.2">
      <c r="A22" s="24"/>
      <c r="B22" s="1">
        <f t="shared" si="0"/>
        <v>3.5</v>
      </c>
      <c r="D22" s="22">
        <v>3.57</v>
      </c>
      <c r="E22" s="20">
        <v>16.149999999999999</v>
      </c>
      <c r="F22" s="22">
        <v>3.5</v>
      </c>
      <c r="G22" s="20">
        <v>19.510000000000002</v>
      </c>
      <c r="H22" s="22">
        <v>3.52</v>
      </c>
      <c r="I22" s="20">
        <v>23.26</v>
      </c>
      <c r="J22" s="24"/>
    </row>
    <row r="23" spans="1:10" x14ac:dyDescent="0.2">
      <c r="A23" s="24"/>
      <c r="B23" s="1">
        <f>B22+0.5</f>
        <v>4</v>
      </c>
      <c r="D23" s="22">
        <v>4.08</v>
      </c>
      <c r="E23" s="20">
        <v>17.7</v>
      </c>
      <c r="F23" s="22">
        <v>4.0199999999999996</v>
      </c>
      <c r="G23" s="20">
        <v>21.17</v>
      </c>
      <c r="H23" s="22"/>
      <c r="I23" s="20"/>
      <c r="J23" s="24"/>
    </row>
    <row r="24" spans="1:10" ht="15" thickBot="1" x14ac:dyDescent="0.25">
      <c r="B24" s="1">
        <f t="shared" si="0"/>
        <v>4.5</v>
      </c>
      <c r="D24" s="23">
        <v>4.47</v>
      </c>
      <c r="E24" s="21">
        <v>18.899999999999999</v>
      </c>
      <c r="F24" s="23">
        <v>4.51</v>
      </c>
      <c r="G24" s="21">
        <v>22.75</v>
      </c>
      <c r="H24" s="23"/>
      <c r="I24" s="21"/>
    </row>
  </sheetData>
  <mergeCells count="3">
    <mergeCell ref="D2:E2"/>
    <mergeCell ref="F2:G2"/>
    <mergeCell ref="H2:I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Анодная характеристика триода</vt:lpstr>
      <vt:lpstr>Лист1</vt:lpstr>
      <vt:lpstr>ВАХ диода</vt:lpstr>
      <vt:lpstr>Максимально допустимый ток</vt:lpstr>
      <vt:lpstr>Сеточная характеристика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Скороходов</dc:creator>
  <cp:lastModifiedBy>Сергей Скороходов</cp:lastModifiedBy>
  <dcterms:created xsi:type="dcterms:W3CDTF">2025-10-23T20:15:30Z</dcterms:created>
  <dcterms:modified xsi:type="dcterms:W3CDTF">2025-11-10T09:20:07Z</dcterms:modified>
</cp:coreProperties>
</file>